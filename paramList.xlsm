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RIchardC\Documents\Personal Projects\Dynamo Scripts\SetFamilyParameters\"/>
    </mc:Choice>
  </mc:AlternateContent>
  <xr:revisionPtr revIDLastSave="0" documentId="13_ncr:1_{6EEFE598-5463-49B1-B28C-0B72D3B86BCE}" xr6:coauthVersionLast="47" xr6:coauthVersionMax="47" xr10:uidLastSave="{00000000-0000-0000-0000-000000000000}"/>
  <bookViews>
    <workbookView xWindow="38280" yWindow="165" windowWidth="25440" windowHeight="15390" activeTab="1" xr2:uid="{6C3D12CF-D6EA-4670-9D98-08B849B71BE0}"/>
  </bookViews>
  <sheets>
    <sheet name="HOW TO" sheetId="6" r:id="rId1"/>
    <sheet name="INSTANCE" sheetId="1" r:id="rId2"/>
    <sheet name="TYPE" sheetId="4" r:id="rId3"/>
    <sheet name="INPUT" sheetId="3" r:id="rId4"/>
    <sheet name="TEMPERATURE FORMULA" sheetId="5" r:id="rId5"/>
    <sheet name="MATCH" sheetId="7" r:id="rId6"/>
  </sheets>
  <functionGroups builtInGroupCount="19"/>
  <definedNames>
    <definedName name="_xlnm._FilterDatabase" localSheetId="1" hidden="1">INSTANCE!$A$1:$C$84</definedName>
    <definedName name="_xlnm._FilterDatabase" localSheetId="2" hidden="1">TYPE!$A$1:$C$114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0" i="3" l="1"/>
  <c r="E4" i="3"/>
  <c r="E5" i="3"/>
  <c r="E6" i="3"/>
  <c r="E7" i="3"/>
  <c r="E8" i="3"/>
  <c r="E9" i="3"/>
  <c r="E10" i="3"/>
  <c r="E11" i="3"/>
  <c r="E12" i="3"/>
  <c r="E13" i="3"/>
  <c r="E14" i="3"/>
  <c r="E15" i="3"/>
  <c r="E16" i="3"/>
  <c r="E17" i="3"/>
  <c r="E18" i="3"/>
  <c r="E19" i="3"/>
  <c r="E3" i="3"/>
  <c r="D20" i="3"/>
  <c r="D16" i="3"/>
  <c r="D17" i="3"/>
  <c r="D18" i="3"/>
  <c r="D19" i="3"/>
  <c r="D4" i="3"/>
  <c r="D5" i="3"/>
  <c r="D6" i="3"/>
  <c r="D7" i="3"/>
  <c r="D8" i="3"/>
  <c r="D9" i="3"/>
  <c r="D10" i="3"/>
  <c r="D11" i="3"/>
  <c r="D12" i="3"/>
  <c r="D13" i="3"/>
  <c r="D14" i="3"/>
  <c r="D15" i="3"/>
  <c r="D3" i="3"/>
  <c r="A1" i="3" l="1" a="1"/>
  <c r="A1" i="3" s="1"/>
  <c r="A2" i="3" a="1"/>
  <c r="A2"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<sst xmlns="http://schemas.openxmlformats.org/spreadsheetml/2006/main" count="557" uniqueCount="312">
  <si>
    <t>PARAM</t>
  </si>
  <si>
    <t>DATE</t>
  </si>
  <si>
    <t>VAL</t>
  </si>
  <si>
    <r>
      <rPr>
        <b/>
        <sz val="14"/>
        <color theme="0"/>
        <rFont val="Calibri"/>
        <family val="2"/>
        <scheme val="minor"/>
      </rPr>
      <t>Sheet Details</t>
    </r>
    <r>
      <rPr>
        <sz val="11"/>
        <color theme="0"/>
        <rFont val="Calibri"/>
        <family val="2"/>
        <scheme val="minor"/>
      </rPr>
      <t xml:space="preserve"> 
This spreadsheet is intended to work in conjunction with two Dynamo scripts (setFamilyParam18.dyn and setFamilyParam18-2.dyn) to mass edit Revit family parameters from Excel.</t>
    </r>
  </si>
  <si>
    <t>INSTANCE</t>
  </si>
  <si>
    <t>TYPE</t>
  </si>
  <si>
    <t>INPUT</t>
  </si>
  <si>
    <t>Populated from setFamilyParam18.dyn. Column A contains type based family parameter names, Column B contains parameter values. Changes made inside of Column B automatically populate the row's Column C cell with the current date to keep track of revision history. Each column contains headers that can be used for sorting or filtering.</t>
  </si>
  <si>
    <t>TEMPERATURE FORMULA</t>
  </si>
  <si>
    <t>Intended for use with setFamilyParam18-2.dyn. Rows 1 and 2 contain input strings for the Code Block inside of Dynamo. These input strings are created from Columns A and B, which should be copied from the INSTANCE and TYPE sheets by the user.</t>
  </si>
  <si>
    <t>Dynamo/Revit uses a convoluted formula in order to obtain temperature from the input value. It is a linear equation based off of an absolute temperature scale.</t>
  </si>
  <si>
    <t>Populated from setFamilyParam18.dyn. Column A contains instance based family parameter names, Column B contains parameter values. Changes made inside of Column B automatically populate the row's Column C cell with the current date to keep track of revision history. Each column contains headers that can be used for sorting or filtering.</t>
  </si>
  <si>
    <t>Design Heating Leaving Water Temperature</t>
  </si>
  <si>
    <t>Design Heating Total Capacity</t>
  </si>
  <si>
    <t>Design Cooling Water Flow</t>
  </si>
  <si>
    <t>Design Cooling Entering Air DB Temperature</t>
  </si>
  <si>
    <t>Design Cooling Leaving Air WB Temperature</t>
  </si>
  <si>
    <t>Design Cooling Water Pressure Drop</t>
  </si>
  <si>
    <t>Design Cooling Total Capacity</t>
  </si>
  <si>
    <t>Design Cooling Leaving Air DB Temperature</t>
  </si>
  <si>
    <t>Design Cooling Airflow</t>
  </si>
  <si>
    <t>Design Heating Entering Air DB Temperature</t>
  </si>
  <si>
    <t>Design Heating Leaving Air DB Temperature</t>
  </si>
  <si>
    <t>Design Heating Entering Water Temperature</t>
  </si>
  <si>
    <t>Design Cooling Entering Air WB Temperature</t>
  </si>
  <si>
    <t>Design Cooling Leaving Water Temperature</t>
  </si>
  <si>
    <t>Design Heating Water Pressure Drop</t>
  </si>
  <si>
    <t>Design Maximum Overcurrent Protection (MOCP)</t>
  </si>
  <si>
    <t>Design Maximum Supply Airflow</t>
  </si>
  <si>
    <t>Design Maximum Weight</t>
  </si>
  <si>
    <t>Frequency</t>
  </si>
  <si>
    <t>FLA Motor Option</t>
  </si>
  <si>
    <t>Voltage</t>
  </si>
  <si>
    <t>0 V</t>
  </si>
  <si>
    <t>Heating Entering Fluid Temperature</t>
  </si>
  <si>
    <t>Code Name</t>
  </si>
  <si>
    <t/>
  </si>
  <si>
    <t>2rw_Abbrv</t>
  </si>
  <si>
    <t>Category</t>
  </si>
  <si>
    <t>Mechanical Equipment</t>
  </si>
  <si>
    <t>Design Supply Fan Horsepower</t>
  </si>
  <si>
    <t>External Static Pressure</t>
  </si>
  <si>
    <t>Literature URL</t>
  </si>
  <si>
    <t>Overall Height</t>
  </si>
  <si>
    <t>0' - 0"</t>
  </si>
  <si>
    <t>Cooling Leaving Wet Bulb Temperature</t>
  </si>
  <si>
    <t>Model</t>
  </si>
  <si>
    <t>FCCB0802</t>
  </si>
  <si>
    <t>Manufacturer</t>
  </si>
  <si>
    <t>Assembly Description</t>
  </si>
  <si>
    <t>Total Cooling Capacity</t>
  </si>
  <si>
    <t>14 Btu/h</t>
  </si>
  <si>
    <t>OmniClass Number</t>
  </si>
  <si>
    <t>23.75.00.00</t>
  </si>
  <si>
    <t>Cooling Entering Fluid Temperature</t>
  </si>
  <si>
    <t>42 °F</t>
  </si>
  <si>
    <t>Type Comments</t>
  </si>
  <si>
    <t>Product URL</t>
  </si>
  <si>
    <t>http://www.trane.com/COMMERCIAL/DNA/View.aspx?i=1084</t>
  </si>
  <si>
    <t>Design Minimum Supply Airflow</t>
  </si>
  <si>
    <t>0 CFM</t>
  </si>
  <si>
    <t>Type Image</t>
  </si>
  <si>
    <t>&lt;None&gt;</t>
  </si>
  <si>
    <t>Cooling Leaving Dry Bulb Temperature</t>
  </si>
  <si>
    <t>15 A</t>
  </si>
  <si>
    <t>Heating Entering Dry Bulb Temperature</t>
  </si>
  <si>
    <t>Heating Fluid Flow Rate</t>
  </si>
  <si>
    <t>2rw_Type</t>
  </si>
  <si>
    <t>Cooling Entering Wet Bulb Temperature</t>
  </si>
  <si>
    <t>63 °F</t>
  </si>
  <si>
    <t>Sensible Cooling Capacity</t>
  </si>
  <si>
    <t>11 Btu/h</t>
  </si>
  <si>
    <t>Classification</t>
  </si>
  <si>
    <t>None</t>
  </si>
  <si>
    <t>Design Supply External Static Pressure</t>
  </si>
  <si>
    <t>Assembly Code</t>
  </si>
  <si>
    <t>Equipment Configuration</t>
  </si>
  <si>
    <t>Connection Cooling Inlet Pipe Diameter</t>
  </si>
  <si>
    <t>0"</t>
  </si>
  <si>
    <t>Total Heating Capacity</t>
  </si>
  <si>
    <t>13 Btu/h</t>
  </si>
  <si>
    <t>Design Option</t>
  </si>
  <si>
    <t>-1</t>
  </si>
  <si>
    <t>Overall Length</t>
  </si>
  <si>
    <t>Design Supply Air Flow</t>
  </si>
  <si>
    <t>Equipment Type</t>
  </si>
  <si>
    <t>Mounting Type</t>
  </si>
  <si>
    <t>Heating Leaving Fluid Temperature</t>
  </si>
  <si>
    <t>Motor Type</t>
  </si>
  <si>
    <t>Free discharge ECM</t>
  </si>
  <si>
    <t>Manufacturer Series Number</t>
  </si>
  <si>
    <t>Type Mark</t>
  </si>
  <si>
    <t>Description</t>
  </si>
  <si>
    <t>Cooling Fluid Flow Rate</t>
  </si>
  <si>
    <t>Family Name</t>
  </si>
  <si>
    <t>75 °F</t>
  </si>
  <si>
    <t>Operating Weight</t>
  </si>
  <si>
    <t>147.00 lbm</t>
  </si>
  <si>
    <t>Heating Leaving Dry Bulb Temperature</t>
  </si>
  <si>
    <t>TAG</t>
  </si>
  <si>
    <t>FCU-08H</t>
  </si>
  <si>
    <t>Motor RPM</t>
  </si>
  <si>
    <t>877 FPS</t>
  </si>
  <si>
    <t>OmniClass Title</t>
  </si>
  <si>
    <t>Climate Control (HVAC)</t>
  </si>
  <si>
    <t>Manufacturer Model Number</t>
  </si>
  <si>
    <t>Design Cooling Sensible Capacity</t>
  </si>
  <si>
    <t>Cooling Leaving Fluid Temperature</t>
  </si>
  <si>
    <t>Heating Fluid Pressure Drop</t>
  </si>
  <si>
    <t>Service</t>
  </si>
  <si>
    <t>Overall Width</t>
  </si>
  <si>
    <t>Maximum Overcurrent Protection</t>
  </si>
  <si>
    <t>Shipping Weight</t>
  </si>
  <si>
    <t>131.00 lbm</t>
  </si>
  <si>
    <t>Minimum Circuit Current</t>
  </si>
  <si>
    <t>2 A</t>
  </si>
  <si>
    <t>Specification - Spec Link Number</t>
  </si>
  <si>
    <t>Cooling Entering Dry Bulb Temperature</t>
  </si>
  <si>
    <t>Design Cooling Entering Water Temperature</t>
  </si>
  <si>
    <t>Designation</t>
  </si>
  <si>
    <t>Motor HP</t>
  </si>
  <si>
    <t>0 Btu/h</t>
  </si>
  <si>
    <t>2 GPM</t>
  </si>
  <si>
    <t>Configuration</t>
  </si>
  <si>
    <t>Connection Heating Inlet Pipe Diameter</t>
  </si>
  <si>
    <t>URL</t>
  </si>
  <si>
    <t>Type Name</t>
  </si>
  <si>
    <t>Phase</t>
  </si>
  <si>
    <t>0</t>
  </si>
  <si>
    <t>Design Minimum Circuit Amps (MCA)</t>
  </si>
  <si>
    <t>70 °F</t>
  </si>
  <si>
    <t>Design Heating Water Flow</t>
  </si>
  <si>
    <t>Cost</t>
  </si>
  <si>
    <t>0.00</t>
  </si>
  <si>
    <t>Keynote</t>
  </si>
  <si>
    <t>Design Heating Airflow</t>
  </si>
  <si>
    <t>Cooling Fluid Pressure Drop</t>
  </si>
  <si>
    <t>Motor Power</t>
  </si>
  <si>
    <t>58 Btu/h</t>
  </si>
  <si>
    <t>Image</t>
  </si>
  <si>
    <t>System Name</t>
  </si>
  <si>
    <t>System Classification</t>
  </si>
  <si>
    <t>Offset</t>
  </si>
  <si>
    <t>Host</t>
  </si>
  <si>
    <t>Level</t>
  </si>
  <si>
    <t>Volume</t>
  </si>
  <si>
    <t>Family and Type</t>
  </si>
  <si>
    <t>Notes</t>
  </si>
  <si>
    <t>Phase Demolished</t>
  </si>
  <si>
    <t>Phase Created</t>
  </si>
  <si>
    <t>New Construction</t>
  </si>
  <si>
    <t>Area</t>
  </si>
  <si>
    <t>Type Id</t>
  </si>
  <si>
    <t>Level 1</t>
  </si>
  <si>
    <t>Circuit Number</t>
  </si>
  <si>
    <t>Specification - UFGS Number</t>
  </si>
  <si>
    <t>Host Id</t>
  </si>
  <si>
    <t>Mark</t>
  </si>
  <si>
    <t>Equipment Location</t>
  </si>
  <si>
    <t>2rw_Instance</t>
  </si>
  <si>
    <t>Specification - Master Spec Number</t>
  </si>
  <si>
    <t>Panel</t>
  </si>
  <si>
    <t>Comments</t>
  </si>
  <si>
    <t>Family</t>
  </si>
  <si>
    <t>Equipment Served</t>
  </si>
  <si>
    <t>Type</t>
  </si>
  <si>
    <t>DESIGN PARAMS</t>
  </si>
  <si>
    <t>OTHER PARAMS</t>
  </si>
  <si>
    <t>WANT</t>
  </si>
  <si>
    <t>ACTUAL</t>
  </si>
  <si>
    <t>DISTANCE</t>
  </si>
  <si>
    <t>LEVENSHTEIN MATCH</t>
  </si>
  <si>
    <t>Option</t>
  </si>
  <si>
    <t>Cooling Airflow</t>
  </si>
  <si>
    <t>Cooling Entering Air DB Temperature</t>
  </si>
  <si>
    <t>Cooling Entering Air WB Temperature</t>
  </si>
  <si>
    <t>Cooling Entering Water Temperature</t>
  </si>
  <si>
    <t>Cooling Leaving Air DB Temperature</t>
  </si>
  <si>
    <t>Cooling Leaving Air WB Temperature</t>
  </si>
  <si>
    <t>Cooling Leaving Water Temperature</t>
  </si>
  <si>
    <t>Cooling Sensible Capacity</t>
  </si>
  <si>
    <t>Cooling Total Capacity</t>
  </si>
  <si>
    <t>Cooling Water Flow</t>
  </si>
  <si>
    <t>Cooling Water Pressure Drop</t>
  </si>
  <si>
    <t>Heating Airflow</t>
  </si>
  <si>
    <t>Heating Entering Air DB Temperature</t>
  </si>
  <si>
    <t>Heating Entering Water Temperature</t>
  </si>
  <si>
    <t>Heating Leaving Air DB Temperature</t>
  </si>
  <si>
    <t>Heating Leaving Water Temperature</t>
  </si>
  <si>
    <t>Heating Total Capacity</t>
  </si>
  <si>
    <t>Heating Water Flow</t>
  </si>
  <si>
    <t>Heating Water Pressure Drop</t>
  </si>
  <si>
    <t>Maximum Overcurrent Protection (MOCP)</t>
  </si>
  <si>
    <t>Maximum Supply Airflow</t>
  </si>
  <si>
    <t>Maximum Weight</t>
  </si>
  <si>
    <t>Minimum Circuit Amps (MCA)</t>
  </si>
  <si>
    <t>Minimum Supply Airflow</t>
  </si>
  <si>
    <t>Supply Air Flow</t>
  </si>
  <si>
    <t>Supply External Static Pressure</t>
  </si>
  <si>
    <t>Supply Fan Horsepower</t>
  </si>
  <si>
    <t>FUZZY MATCH</t>
  </si>
  <si>
    <t>FUZZY %</t>
  </si>
  <si>
    <t>C+ (Supply above Unit Height)</t>
  </si>
  <si>
    <t>3' - 11"</t>
  </si>
  <si>
    <t>A (Unit Width)</t>
  </si>
  <si>
    <t>1' - 5 1/2"</t>
  </si>
  <si>
    <t>CHWS</t>
  </si>
  <si>
    <t>0' - 0 1/32"</t>
  </si>
  <si>
    <t>CD 1</t>
  </si>
  <si>
    <t>0' - 1 5/16"</t>
  </si>
  <si>
    <t>Service_old</t>
  </si>
  <si>
    <t>VERIES</t>
  </si>
  <si>
    <t>Supply Fan - Ext Static Pressure</t>
  </si>
  <si>
    <t>0.50 in-wg</t>
  </si>
  <si>
    <t>M (BTM Return Length)</t>
  </si>
  <si>
    <t>1' - 6 1/4"</t>
  </si>
  <si>
    <t>K (Duct Collar Offset)</t>
  </si>
  <si>
    <t>0' - 4 5/8"</t>
  </si>
  <si>
    <t>C (Unit Height)</t>
  </si>
  <si>
    <t>3' - 10"</t>
  </si>
  <si>
    <t>Supply Fan - CFM</t>
  </si>
  <si>
    <t>560 CFM</t>
  </si>
  <si>
    <t>HW Coil - MBH</t>
  </si>
  <si>
    <t>19.0 Btu/h</t>
  </si>
  <si>
    <t>Weight</t>
  </si>
  <si>
    <t>180</t>
  </si>
  <si>
    <t>CHW Coil - LAT</t>
  </si>
  <si>
    <t>59/55</t>
  </si>
  <si>
    <t>HW Coil - LAT</t>
  </si>
  <si>
    <t>103</t>
  </si>
  <si>
    <t>3' - 10 3/4"</t>
  </si>
  <si>
    <t>CHW Coil - Total MBH</t>
  </si>
  <si>
    <t>12.0 Btu/h</t>
  </si>
  <si>
    <t>Filter Size</t>
  </si>
  <si>
    <t>1</t>
  </si>
  <si>
    <t>CHW Coil - Pipe In</t>
  </si>
  <si>
    <t>1/2</t>
  </si>
  <si>
    <t>HW Coil - EAT</t>
  </si>
  <si>
    <t>70</t>
  </si>
  <si>
    <t>Elect</t>
  </si>
  <si>
    <t>0' - 8 3/4"</t>
  </si>
  <si>
    <t>MOP</t>
  </si>
  <si>
    <t>15</t>
  </si>
  <si>
    <t>F (Supply Width)</t>
  </si>
  <si>
    <t>1' - 3"</t>
  </si>
  <si>
    <t>CHW Coil - EAT</t>
  </si>
  <si>
    <t>75/63</t>
  </si>
  <si>
    <t>N (BTM Return Width)</t>
  </si>
  <si>
    <t>1' - 2 5/16"</t>
  </si>
  <si>
    <t>2rw Mark</t>
  </si>
  <si>
    <t>BC-06/08-Room No.</t>
  </si>
  <si>
    <t>CHW Coil - GPM</t>
  </si>
  <si>
    <t>E Side</t>
  </si>
  <si>
    <t>HW Coil - GPM</t>
  </si>
  <si>
    <t>1 GPM</t>
  </si>
  <si>
    <t>DUC06</t>
  </si>
  <si>
    <t>H (Supply Length)</t>
  </si>
  <si>
    <t>1' - 4 1/2"</t>
  </si>
  <si>
    <t>DUC</t>
  </si>
  <si>
    <t>HW Coil - WPD</t>
  </si>
  <si>
    <t>0.4</t>
  </si>
  <si>
    <t>Mech Eqpt Classification</t>
  </si>
  <si>
    <t>DUC-06</t>
  </si>
  <si>
    <t>Supply Fan - HP</t>
  </si>
  <si>
    <t>HW Coil - Pipe In</t>
  </si>
  <si>
    <t>CHW Coil - WPD</t>
  </si>
  <si>
    <t>CHWR</t>
  </si>
  <si>
    <t>D (TO Access Door)</t>
  </si>
  <si>
    <t>2' - 11 3/4"</t>
  </si>
  <si>
    <t>CD 2</t>
  </si>
  <si>
    <t>0' - 2"</t>
  </si>
  <si>
    <t>MAGICAIRE</t>
  </si>
  <si>
    <t>MCA</t>
  </si>
  <si>
    <t>1.6</t>
  </si>
  <si>
    <t>E (Section Above Door)</t>
  </si>
  <si>
    <t>0' - 10 1/4"</t>
  </si>
  <si>
    <t>CHW Coil - Sensible MBH</t>
  </si>
  <si>
    <t>10.0 Btu/h</t>
  </si>
  <si>
    <t>M-Blower Coil Unit_Magicaire DUC Series</t>
  </si>
  <si>
    <t>B (Unit Depth)</t>
  </si>
  <si>
    <t>1' - 10"</t>
  </si>
  <si>
    <t>V-PH</t>
  </si>
  <si>
    <t>208-1</t>
  </si>
  <si>
    <t>246 W</t>
  </si>
  <si>
    <t>58 °F</t>
  </si>
  <si>
    <t>23 82 00</t>
  </si>
  <si>
    <t>Location</t>
  </si>
  <si>
    <t>BC</t>
  </si>
  <si>
    <t>-460 °F</t>
  </si>
  <si>
    <t>9670.0 Btu/h</t>
  </si>
  <si>
    <t>15000.0 Btu/h</t>
  </si>
  <si>
    <t>0.43 psi</t>
  </si>
  <si>
    <t>2nd Cond Drain</t>
  </si>
  <si>
    <t>No</t>
  </si>
  <si>
    <t>17 SF</t>
  </si>
  <si>
    <t>0.17 psi</t>
  </si>
  <si>
    <t>994656</t>
  </si>
  <si>
    <t>12000.0 Btu/h</t>
  </si>
  <si>
    <t>56 °F</t>
  </si>
  <si>
    <t>BC-06-</t>
  </si>
  <si>
    <t>Controls,Supply Air,Return Air,Hydronic Return,Hydronic Supply,Hydronic Return,Sanitary,Hydronic Supply,Sanitary,Power</t>
  </si>
  <si>
    <t>10.36 CF</t>
  </si>
  <si>
    <t>160.00 lbf</t>
  </si>
  <si>
    <t>59 °F</t>
  </si>
  <si>
    <t>06</t>
  </si>
  <si>
    <t>208 V</t>
  </si>
  <si>
    <t>M-Blower Coil Unit_Magicaire DUC Series: DUC06</t>
  </si>
  <si>
    <t>Prime Cond Drain</t>
  </si>
  <si>
    <t>Yes</t>
  </si>
  <si>
    <t>Circuit Breaker (Elec Heat Only)</t>
  </si>
  <si>
    <t>60 Hz</t>
  </si>
  <si>
    <t>95 °F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</si>
</sst>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4"/>
      <color theme="0"/>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1" tint="0.14999847407452621"/>
        <bgColor indexed="64"/>
      </patternFill>
    </fill>
    <fill>
      <patternFill patternType="solid">
        <fgColor theme="1" tint="0.34998626667073579"/>
        <bgColor indexed="64"/>
      </patternFill>
    </fill>
  </fills>
  <borders count="3">
    <border>
      <left/>
      <right/>
      <top/>
      <bottom/>
      <diagonal/>
    </border>
    <border>
      <left style="thin">
        <color indexed="64"/>
      </left>
      <right/>
      <top/>
      <bottom/>
      <diagonal/>
    </border>
    <border>
      <left/>
      <right style="thin">
        <color indexed="64"/>
      </right>
      <top/>
      <bottom/>
      <diagonal/>
    </border>
  </borders>
  <cellStyleXfs count="1">
    <xf numFmtId="0" fontId="0" fillId="0" borderId="0"/>
  </cellStyleXfs>
  <cellXfs count="12">
    <xf numFmtId="0" fontId="0" fillId="0" borderId="0" xfId="0"/>
    <xf numFmtId="18" fontId="0" fillId="0" borderId="0" xfId="0" applyNumberFormat="1"/>
    <xf numFmtId="49" fontId="0" fillId="0" borderId="0" xfId="0" applyNumberFormat="1"/>
    <xf numFmtId="49" fontId="0" fillId="0" borderId="0" xfId="0" applyNumberFormat="1" applyAlignment="1">
      <alignment wrapText="1"/>
    </xf>
    <xf numFmtId="14" fontId="0" fillId="0" borderId="0" xfId="0" applyNumberFormat="1"/>
    <xf numFmtId="0" fontId="1" fillId="4" borderId="2" xfId="0" applyFont="1" applyFill="1" applyBorder="1" applyAlignment="1">
      <alignment horizontal="left" vertical="center" wrapText="1" indent="1"/>
    </xf>
    <xf numFmtId="0" fontId="1" fillId="2" borderId="2" xfId="0" applyFont="1" applyFill="1" applyBorder="1" applyAlignment="1">
      <alignment horizontal="left" vertical="center" wrapText="1" indent="1"/>
    </xf>
    <xf numFmtId="0" fontId="1" fillId="4" borderId="1" xfId="0" applyFont="1" applyFill="1" applyBorder="1" applyAlignment="1">
      <alignment horizontal="left" vertical="center" wrapText="1" indent="1"/>
    </xf>
    <xf numFmtId="0" fontId="1" fillId="2" borderId="1" xfId="0" applyFont="1" applyFill="1" applyBorder="1" applyAlignment="1">
      <alignment horizontal="left" vertical="center" wrapText="1" indent="1"/>
    </xf>
    <xf numFmtId="0" fontId="0" fillId="0" borderId="0" xfId="0" applyFill="1"/>
    <xf numFmtId="0" fontId="1" fillId="3" borderId="1" xfId="0" applyFont="1" applyFill="1" applyBorder="1" applyAlignment="1">
      <alignment horizontal="left" wrapText="1"/>
    </xf>
    <xf numFmtId="0" fontId="1" fillId="3" borderId="2" xfId="0" applyFont="1" applyFill="1" applyBorder="1" applyAlignment="1">
      <alignment horizontal="lef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6"/>
            <c:spPr>
              <a:noFill/>
              <a:ln w="12700">
                <a:solidFill>
                  <a:schemeClr val="accent1"/>
                </a:solidFill>
              </a:ln>
              <a:effectLst/>
            </c:spPr>
          </c:marker>
          <c:trendline>
            <c:spPr>
              <a:ln w="19050" cap="rnd">
                <a:solidFill>
                  <a:srgbClr val="FF0000"/>
                </a:solidFill>
                <a:prstDash val="sysDot"/>
              </a:ln>
              <a:effectLst/>
            </c:spPr>
            <c:trendlineType val="linear"/>
            <c:dispRSqr val="0"/>
            <c:dispEq val="1"/>
            <c:trendlineLbl>
              <c:layout>
                <c:manualLayout>
                  <c:x val="-4.5829177602799649E-2"/>
                  <c:y val="0"/>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'TEMPERATURE FORMULA'!$A$1:$A$4</c:f>
              <c:numCache>
                <c:formatCode>General</c:formatCode>
                <c:ptCount val="4"/>
                <c:pt idx="0">
                  <c:v>0</c:v>
                </c:pt>
                <c:pt idx="1">
                  <c:v>1</c:v>
                </c:pt>
                <c:pt idx="2">
                  <c:v>2</c:v>
                </c:pt>
                <c:pt idx="3">
                  <c:v>3</c:v>
                </c:pt>
              </c:numCache>
            </c:numRef>
          </c:xVal>
          <c:yVal>
            <c:numRef>
              <c:f>'TEMPERATURE FORMULA'!$B$1:$B$4</c:f>
              <c:numCache>
                <c:formatCode>General</c:formatCode>
                <c:ptCount val="4"/>
                <c:pt idx="0">
                  <c:v>-459.67</c:v>
                </c:pt>
                <c:pt idx="1">
                  <c:v>1</c:v>
                </c:pt>
                <c:pt idx="2">
                  <c:v>461.67</c:v>
                </c:pt>
                <c:pt idx="3">
                  <c:v>922.34</c:v>
                </c:pt>
              </c:numCache>
            </c:numRef>
          </c:yVal>
          <c:smooth val="0"/>
          <c:extLst>
            <c:ext xmlns:c16="http://schemas.microsoft.com/office/drawing/2014/chart" uri="{C3380CC4-5D6E-409C-BE32-E72D297353CC}">
              <c16:uniqueId val="{00000000-399C-49DE-8CAC-77AF72A0B201}"/>
            </c:ext>
          </c:extLst>
        </c:ser>
        <c:dLbls>
          <c:showLegendKey val="0"/>
          <c:showVal val="0"/>
          <c:showCatName val="0"/>
          <c:showSerName val="0"/>
          <c:showPercent val="0"/>
          <c:showBubbleSize val="0"/>
        </c:dLbls>
        <c:axId val="1011112288"/>
        <c:axId val="1692899696"/>
      </c:scatterChart>
      <c:valAx>
        <c:axId val="1011112288"/>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2899696"/>
        <c:crosses val="autoZero"/>
        <c:crossBetween val="midCat"/>
      </c:valAx>
      <c:valAx>
        <c:axId val="1692899696"/>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112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571500</xdr:colOff>
      <xdr:row>3</xdr:row>
      <xdr:rowOff>119062</xdr:rowOff>
    </xdr:from>
    <xdr:to>
      <xdr:col>10</xdr:col>
      <xdr:colOff>266700</xdr:colOff>
      <xdr:row>18</xdr:row>
      <xdr:rowOff>4762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0</xdr:row>
          <xdr:rowOff>38100</xdr:rowOff>
        </xdr:from>
        <xdr:to>
          <xdr:col>10</xdr:col>
          <xdr:colOff>581025</xdr:colOff>
          <xdr:row>1</xdr:row>
          <xdr:rowOff>161925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0</xdr:row>
          <xdr:rowOff>38100</xdr:rowOff>
        </xdr:from>
        <xdr:to>
          <xdr:col>13</xdr:col>
          <xdr:colOff>28575</xdr:colOff>
          <xdr:row>1</xdr:row>
          <xdr:rowOff>161925</xdr:rowOff>
        </xdr:to>
        <xdr:sp macro="" textlink="">
          <xdr:nvSpPr>
            <xdr:cNvPr id="6146" name="CommandButton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15681-7D4B-4DB7-B6CB-827A374EA795}">
  <sheetPr codeName="Sheet5"/>
  <dimension ref="A1:B5"/>
  <sheetViews>
    <sheetView workbookViewId="0">
      <selection activeCell="B4" sqref="B4"/>
    </sheetView>
  </sheetViews>
  <sheetFormatPr defaultRowHeight="15" x14ac:dyDescent="0.25"/>
  <cols>
    <col min="1" max="1" width="32" customWidth="1"/>
    <col min="2" max="2" width="88.42578125" customWidth="1"/>
  </cols>
  <sheetData>
    <row r="1" spans="1:2" ht="60" customHeight="1" x14ac:dyDescent="0.25">
      <c r="A1" s="10" t="s">
        <v>3</v>
      </c>
      <c r="B1" s="11"/>
    </row>
    <row r="2" spans="1:2" ht="67.5" customHeight="1" x14ac:dyDescent="0.25">
      <c r="A2" s="7" t="s">
        <v>4</v>
      </c>
      <c r="B2" s="5" t="s">
        <v>11</v>
      </c>
    </row>
    <row r="3" spans="1:2" ht="75" customHeight="1" x14ac:dyDescent="0.25">
      <c r="A3" s="8" t="s">
        <v>5</v>
      </c>
      <c r="B3" s="6" t="s">
        <v>7</v>
      </c>
    </row>
    <row r="4" spans="1:2" ht="54.75" customHeight="1" x14ac:dyDescent="0.25">
      <c r="A4" s="7" t="s">
        <v>6</v>
      </c>
      <c r="B4" s="5" t="s">
        <v>9</v>
      </c>
    </row>
    <row r="5" spans="1:2" ht="45.75" customHeight="1" x14ac:dyDescent="0.25">
      <c r="A5" s="8" t="s">
        <v>8</v>
      </c>
      <c r="B5" s="6" t="s">
        <v>10</v>
      </c>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56E61-2E2C-47C4-8C2E-4966BFACACF8}">
  <sheetPr codeName="Sheet1"/>
  <dimension ref="A1:C105"/>
  <sheetViews>
    <sheetView tabSelected="1" workbookViewId="0">
      <selection activeCell="B16" sqref="B16"/>
    </sheetView>
  </sheetViews>
  <sheetFormatPr defaultRowHeight="15" x14ac:dyDescent="0.25"/>
  <cols>
    <col min="1" max="1" width="45.5703125" style="2" bestFit="1" customWidth="1"/>
    <col min="2" max="2" width="9.140625" style="2"/>
  </cols>
  <sheetData>
    <row r="1" spans="1:3" x14ac:dyDescent="0.25">
      <c r="A1" s="2" t="s">
        <v>0</v>
      </c>
      <c r="B1" s="2" t="s">
        <v>2</v>
      </c>
      <c r="C1" s="4" t="s">
        <v>1</v>
      </c>
    </row>
    <row r="2" spans="1:3" x14ac:dyDescent="0.25">
      <c r="A2" s="2" t="s">
        <v>40</v>
      </c>
      <c r="B2" s="2" t="s">
        <v>283</v>
      </c>
      <c r="C2" s="4">
        <v>44460</v>
      </c>
    </row>
    <row r="3" spans="1:3" x14ac:dyDescent="0.25">
      <c r="A3" s="2" t="s">
        <v>25</v>
      </c>
      <c r="B3" s="2" t="s">
        <v>284</v>
      </c>
    </row>
    <row r="4" spans="1:3" x14ac:dyDescent="0.25">
      <c r="A4" s="2" t="s">
        <v>162</v>
      </c>
      <c r="B4" s="2" t="s">
        <v>36</v>
      </c>
    </row>
    <row r="5" spans="1:3" x14ac:dyDescent="0.25">
      <c r="A5" s="2" t="s">
        <v>116</v>
      </c>
      <c r="B5" s="2" t="s">
        <v>285</v>
      </c>
    </row>
    <row r="6" spans="1:3" x14ac:dyDescent="0.25">
      <c r="A6" s="2" t="s">
        <v>156</v>
      </c>
      <c r="B6" s="2" t="s">
        <v>82</v>
      </c>
    </row>
    <row r="7" spans="1:3" x14ac:dyDescent="0.25">
      <c r="A7" s="2" t="s">
        <v>163</v>
      </c>
      <c r="B7" s="2" t="s">
        <v>278</v>
      </c>
      <c r="C7" s="4"/>
    </row>
    <row r="8" spans="1:3" x14ac:dyDescent="0.25">
      <c r="A8" s="2" t="s">
        <v>286</v>
      </c>
      <c r="B8" s="2" t="s">
        <v>36</v>
      </c>
    </row>
    <row r="9" spans="1:3" x14ac:dyDescent="0.25">
      <c r="A9" s="2" t="s">
        <v>147</v>
      </c>
      <c r="B9" s="2" t="s">
        <v>36</v>
      </c>
    </row>
    <row r="10" spans="1:3" x14ac:dyDescent="0.25">
      <c r="A10" s="2" t="s">
        <v>154</v>
      </c>
      <c r="B10" s="2" t="s">
        <v>36</v>
      </c>
    </row>
    <row r="11" spans="1:3" x14ac:dyDescent="0.25">
      <c r="A11" s="2" t="s">
        <v>38</v>
      </c>
      <c r="B11" s="2" t="s">
        <v>39</v>
      </c>
    </row>
    <row r="12" spans="1:3" x14ac:dyDescent="0.25">
      <c r="A12" s="2" t="s">
        <v>37</v>
      </c>
      <c r="B12" s="2" t="s">
        <v>287</v>
      </c>
    </row>
    <row r="13" spans="1:3" x14ac:dyDescent="0.25">
      <c r="A13" s="2" t="s">
        <v>59</v>
      </c>
      <c r="B13" s="2" t="s">
        <v>60</v>
      </c>
    </row>
    <row r="14" spans="1:3" x14ac:dyDescent="0.25">
      <c r="A14" s="2" t="s">
        <v>12</v>
      </c>
      <c r="B14" s="2" t="s">
        <v>288</v>
      </c>
    </row>
    <row r="15" spans="1:3" x14ac:dyDescent="0.25">
      <c r="A15" s="2" t="s">
        <v>106</v>
      </c>
      <c r="B15" s="2" t="s">
        <v>289</v>
      </c>
    </row>
    <row r="16" spans="1:3" x14ac:dyDescent="0.25">
      <c r="A16" s="2" t="s">
        <v>13</v>
      </c>
      <c r="B16" s="2" t="s">
        <v>290</v>
      </c>
      <c r="C16" s="4">
        <v>44455</v>
      </c>
    </row>
    <row r="17" spans="1:3" x14ac:dyDescent="0.25">
      <c r="A17" s="2" t="s">
        <v>142</v>
      </c>
      <c r="B17" s="2" t="s">
        <v>44</v>
      </c>
    </row>
    <row r="18" spans="1:3" x14ac:dyDescent="0.25">
      <c r="A18" s="2" t="s">
        <v>38</v>
      </c>
      <c r="B18" s="2" t="s">
        <v>39</v>
      </c>
    </row>
    <row r="19" spans="1:3" x14ac:dyDescent="0.25">
      <c r="A19" s="2" t="s">
        <v>17</v>
      </c>
      <c r="B19" s="2" t="s">
        <v>291</v>
      </c>
    </row>
    <row r="20" spans="1:3" x14ac:dyDescent="0.25">
      <c r="A20" s="2" t="s">
        <v>292</v>
      </c>
      <c r="B20" s="2" t="s">
        <v>293</v>
      </c>
    </row>
    <row r="21" spans="1:3" x14ac:dyDescent="0.25">
      <c r="A21" s="2" t="s">
        <v>74</v>
      </c>
      <c r="B21" s="2" t="s">
        <v>213</v>
      </c>
    </row>
    <row r="22" spans="1:3" x14ac:dyDescent="0.25">
      <c r="A22" s="2" t="s">
        <v>109</v>
      </c>
      <c r="B22" s="2" t="s">
        <v>36</v>
      </c>
      <c r="C22" s="4"/>
    </row>
    <row r="23" spans="1:3" x14ac:dyDescent="0.25">
      <c r="A23" s="2" t="s">
        <v>124</v>
      </c>
      <c r="B23" s="2" t="s">
        <v>78</v>
      </c>
      <c r="C23" s="4"/>
    </row>
    <row r="24" spans="1:3" x14ac:dyDescent="0.25">
      <c r="A24" s="2" t="s">
        <v>139</v>
      </c>
      <c r="B24" s="2" t="s">
        <v>62</v>
      </c>
    </row>
    <row r="25" spans="1:3" x14ac:dyDescent="0.25">
      <c r="A25" s="2" t="s">
        <v>151</v>
      </c>
      <c r="B25" s="2" t="s">
        <v>294</v>
      </c>
    </row>
    <row r="26" spans="1:3" x14ac:dyDescent="0.25">
      <c r="A26" s="2" t="s">
        <v>26</v>
      </c>
      <c r="B26" s="2" t="s">
        <v>295</v>
      </c>
    </row>
    <row r="27" spans="1:3" x14ac:dyDescent="0.25">
      <c r="A27" s="2" t="s">
        <v>148</v>
      </c>
      <c r="B27" s="2" t="s">
        <v>73</v>
      </c>
    </row>
    <row r="28" spans="1:3" x14ac:dyDescent="0.25">
      <c r="A28" s="2" t="s">
        <v>155</v>
      </c>
      <c r="B28" s="2" t="s">
        <v>36</v>
      </c>
    </row>
    <row r="29" spans="1:3" x14ac:dyDescent="0.25">
      <c r="A29" s="2" t="s">
        <v>165</v>
      </c>
      <c r="B29" s="2" t="s">
        <v>255</v>
      </c>
    </row>
    <row r="30" spans="1:3" x14ac:dyDescent="0.25">
      <c r="A30" s="2" t="s">
        <v>152</v>
      </c>
      <c r="B30" s="2" t="s">
        <v>296</v>
      </c>
    </row>
    <row r="31" spans="1:3" x14ac:dyDescent="0.25">
      <c r="A31" s="2" t="s">
        <v>18</v>
      </c>
      <c r="B31" s="2" t="s">
        <v>297</v>
      </c>
    </row>
    <row r="32" spans="1:3" x14ac:dyDescent="0.25">
      <c r="A32" s="2" t="s">
        <v>24</v>
      </c>
      <c r="B32" s="2" t="s">
        <v>69</v>
      </c>
    </row>
    <row r="33" spans="1:2" x14ac:dyDescent="0.25">
      <c r="A33" s="2" t="s">
        <v>16</v>
      </c>
      <c r="B33" s="2" t="s">
        <v>298</v>
      </c>
    </row>
    <row r="34" spans="1:2" x14ac:dyDescent="0.25">
      <c r="A34" s="2" t="s">
        <v>157</v>
      </c>
      <c r="B34" s="2" t="s">
        <v>299</v>
      </c>
    </row>
    <row r="35" spans="1:2" x14ac:dyDescent="0.25">
      <c r="A35" s="2" t="s">
        <v>141</v>
      </c>
      <c r="B35" s="2" t="s">
        <v>300</v>
      </c>
    </row>
    <row r="36" spans="1:2" x14ac:dyDescent="0.25">
      <c r="A36" s="2" t="s">
        <v>15</v>
      </c>
      <c r="B36" s="2" t="s">
        <v>95</v>
      </c>
    </row>
    <row r="37" spans="1:2" x14ac:dyDescent="0.25">
      <c r="A37" s="2" t="s">
        <v>83</v>
      </c>
      <c r="B37" s="2" t="s">
        <v>280</v>
      </c>
    </row>
    <row r="38" spans="1:2" x14ac:dyDescent="0.25">
      <c r="A38" s="2" t="s">
        <v>160</v>
      </c>
      <c r="B38" s="2" t="s">
        <v>36</v>
      </c>
    </row>
    <row r="39" spans="1:2" x14ac:dyDescent="0.25">
      <c r="A39" s="2" t="s">
        <v>145</v>
      </c>
      <c r="B39" s="2" t="s">
        <v>301</v>
      </c>
    </row>
    <row r="40" spans="1:2" x14ac:dyDescent="0.25">
      <c r="A40" s="2" t="s">
        <v>14</v>
      </c>
      <c r="B40" s="2" t="s">
        <v>122</v>
      </c>
    </row>
    <row r="41" spans="1:2" x14ac:dyDescent="0.25">
      <c r="A41" s="2" t="s">
        <v>94</v>
      </c>
      <c r="B41" s="2" t="s">
        <v>36</v>
      </c>
    </row>
    <row r="42" spans="1:2" x14ac:dyDescent="0.25">
      <c r="A42" s="2" t="s">
        <v>29</v>
      </c>
      <c r="B42" s="2" t="s">
        <v>302</v>
      </c>
    </row>
    <row r="43" spans="1:2" x14ac:dyDescent="0.25">
      <c r="A43" s="2" t="s">
        <v>19</v>
      </c>
      <c r="B43" s="2" t="s">
        <v>303</v>
      </c>
    </row>
    <row r="44" spans="1:2" x14ac:dyDescent="0.25">
      <c r="A44" s="2" t="s">
        <v>144</v>
      </c>
      <c r="B44" s="2" t="s">
        <v>153</v>
      </c>
    </row>
    <row r="45" spans="1:2" x14ac:dyDescent="0.25">
      <c r="A45" s="2" t="s">
        <v>159</v>
      </c>
      <c r="B45" s="2" t="s">
        <v>36</v>
      </c>
    </row>
    <row r="46" spans="1:2" x14ac:dyDescent="0.25">
      <c r="A46" s="2" t="s">
        <v>67</v>
      </c>
      <c r="B46" s="2" t="s">
        <v>304</v>
      </c>
    </row>
    <row r="47" spans="1:2" x14ac:dyDescent="0.25">
      <c r="A47" s="2" t="s">
        <v>84</v>
      </c>
      <c r="B47" s="2" t="s">
        <v>221</v>
      </c>
    </row>
    <row r="48" spans="1:2" x14ac:dyDescent="0.25">
      <c r="A48" s="2" t="s">
        <v>135</v>
      </c>
      <c r="B48" s="2" t="s">
        <v>60</v>
      </c>
    </row>
    <row r="49" spans="1:3" x14ac:dyDescent="0.25">
      <c r="A49" s="2" t="s">
        <v>32</v>
      </c>
      <c r="B49" s="2" t="s">
        <v>305</v>
      </c>
    </row>
    <row r="50" spans="1:3" x14ac:dyDescent="0.25">
      <c r="A50" s="2" t="s">
        <v>81</v>
      </c>
      <c r="B50" s="2" t="s">
        <v>82</v>
      </c>
    </row>
    <row r="51" spans="1:3" x14ac:dyDescent="0.25">
      <c r="A51" s="2" t="s">
        <v>127</v>
      </c>
      <c r="B51" s="2" t="s">
        <v>234</v>
      </c>
    </row>
    <row r="52" spans="1:3" x14ac:dyDescent="0.25">
      <c r="A52" s="2" t="s">
        <v>146</v>
      </c>
      <c r="B52" s="2" t="s">
        <v>306</v>
      </c>
    </row>
    <row r="53" spans="1:3" x14ac:dyDescent="0.25">
      <c r="A53" s="2" t="s">
        <v>77</v>
      </c>
      <c r="B53" s="2" t="s">
        <v>78</v>
      </c>
    </row>
    <row r="54" spans="1:3" x14ac:dyDescent="0.25">
      <c r="A54" s="2" t="s">
        <v>307</v>
      </c>
      <c r="B54" s="2" t="s">
        <v>308</v>
      </c>
    </row>
    <row r="55" spans="1:3" x14ac:dyDescent="0.25">
      <c r="A55" s="2" t="s">
        <v>161</v>
      </c>
      <c r="B55" s="2" t="s">
        <v>36</v>
      </c>
    </row>
    <row r="56" spans="1:3" x14ac:dyDescent="0.25">
      <c r="A56" s="2" t="s">
        <v>140</v>
      </c>
      <c r="B56" s="2" t="s">
        <v>36</v>
      </c>
      <c r="C56" s="4"/>
    </row>
    <row r="57" spans="1:3" x14ac:dyDescent="0.25">
      <c r="A57" s="2" t="s">
        <v>28</v>
      </c>
      <c r="B57" s="2" t="s">
        <v>221</v>
      </c>
    </row>
    <row r="58" spans="1:3" x14ac:dyDescent="0.25">
      <c r="A58" s="2" t="s">
        <v>118</v>
      </c>
      <c r="B58" s="3" t="s">
        <v>55</v>
      </c>
    </row>
    <row r="59" spans="1:3" x14ac:dyDescent="0.25">
      <c r="A59" s="2" t="s">
        <v>309</v>
      </c>
      <c r="B59" s="2" t="s">
        <v>293</v>
      </c>
    </row>
    <row r="60" spans="1:3" x14ac:dyDescent="0.25">
      <c r="A60" s="2" t="s">
        <v>23</v>
      </c>
      <c r="B60" s="2" t="s">
        <v>288</v>
      </c>
    </row>
    <row r="61" spans="1:3" x14ac:dyDescent="0.25">
      <c r="A61" s="2" t="s">
        <v>30</v>
      </c>
      <c r="B61" s="2" t="s">
        <v>310</v>
      </c>
    </row>
    <row r="62" spans="1:3" x14ac:dyDescent="0.25">
      <c r="A62" s="2" t="s">
        <v>144</v>
      </c>
      <c r="B62" s="2" t="s">
        <v>153</v>
      </c>
    </row>
    <row r="63" spans="1:3" x14ac:dyDescent="0.25">
      <c r="A63" s="2" t="s">
        <v>131</v>
      </c>
      <c r="B63" s="2" t="s">
        <v>254</v>
      </c>
    </row>
    <row r="64" spans="1:3" x14ac:dyDescent="0.25">
      <c r="A64" s="2" t="s">
        <v>143</v>
      </c>
      <c r="B64" s="2" t="s">
        <v>144</v>
      </c>
    </row>
    <row r="65" spans="1:3" x14ac:dyDescent="0.25">
      <c r="A65" s="2" t="s">
        <v>20</v>
      </c>
      <c r="B65" s="2" t="s">
        <v>60</v>
      </c>
    </row>
    <row r="66" spans="1:3" x14ac:dyDescent="0.25">
      <c r="A66" s="2" t="s">
        <v>149</v>
      </c>
      <c r="B66" s="2" t="s">
        <v>150</v>
      </c>
    </row>
    <row r="67" spans="1:3" x14ac:dyDescent="0.25">
      <c r="A67" s="2" t="s">
        <v>110</v>
      </c>
      <c r="B67" s="2" t="s">
        <v>205</v>
      </c>
    </row>
    <row r="68" spans="1:3" x14ac:dyDescent="0.25">
      <c r="A68" s="2" t="s">
        <v>126</v>
      </c>
      <c r="B68" s="2" t="s">
        <v>36</v>
      </c>
    </row>
    <row r="69" spans="1:3" x14ac:dyDescent="0.25">
      <c r="A69" s="2" t="s">
        <v>21</v>
      </c>
      <c r="B69" s="2" t="s">
        <v>130</v>
      </c>
    </row>
    <row r="70" spans="1:3" x14ac:dyDescent="0.25">
      <c r="A70" s="2" t="s">
        <v>22</v>
      </c>
      <c r="B70" s="2" t="s">
        <v>311</v>
      </c>
    </row>
    <row r="73" spans="1:3" x14ac:dyDescent="0.25">
      <c r="C73" s="4"/>
    </row>
    <row r="77" spans="1:3" x14ac:dyDescent="0.25">
      <c r="B77" s="3"/>
    </row>
    <row r="102" spans="3:3" x14ac:dyDescent="0.25">
      <c r="C102" s="4"/>
    </row>
    <row r="105" spans="3:3" x14ac:dyDescent="0.25">
      <c r="C105" s="1"/>
    </row>
  </sheetData>
  <autoFilter ref="A1:C84" xr:uid="{6C456E61-2E2C-47C4-8C2E-4966BFACACF8}">
    <sortState xmlns:xlrd2="http://schemas.microsoft.com/office/spreadsheetml/2017/richdata2" ref="A2:C84">
      <sortCondition ref="A1:A84"/>
    </sortState>
  </autoFilter>
  <sortState xmlns:xlrd2="http://schemas.microsoft.com/office/spreadsheetml/2017/richdata2" ref="A2:C59">
    <sortCondition ref="A2:A59"/>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5E5A6-ACD6-46A7-BADE-745CABFBA12A}">
  <sheetPr codeName="Sheet2"/>
  <dimension ref="A1:C100"/>
  <sheetViews>
    <sheetView workbookViewId="0">
      <selection activeCell="F16" sqref="F16"/>
    </sheetView>
  </sheetViews>
  <sheetFormatPr defaultRowHeight="15" x14ac:dyDescent="0.25"/>
  <cols>
    <col min="1" max="1" width="52.42578125" bestFit="1" customWidth="1"/>
    <col min="2" max="2" width="9.140625" style="2"/>
  </cols>
  <sheetData>
    <row r="1" spans="1:3" x14ac:dyDescent="0.25">
      <c r="A1" t="s">
        <v>0</v>
      </c>
      <c r="B1" s="2" t="s">
        <v>2</v>
      </c>
      <c r="C1" s="4" t="s">
        <v>1</v>
      </c>
    </row>
    <row r="2" spans="1:3" x14ac:dyDescent="0.25">
      <c r="A2" t="s">
        <v>49</v>
      </c>
      <c r="B2" s="2" t="s">
        <v>36</v>
      </c>
      <c r="C2" s="4">
        <v>44460</v>
      </c>
    </row>
    <row r="3" spans="1:3" x14ac:dyDescent="0.25">
      <c r="A3" t="s">
        <v>202</v>
      </c>
      <c r="B3" s="2" t="s">
        <v>203</v>
      </c>
      <c r="C3" s="4"/>
    </row>
    <row r="4" spans="1:3" x14ac:dyDescent="0.25">
      <c r="A4" t="s">
        <v>204</v>
      </c>
      <c r="B4" s="2" t="s">
        <v>205</v>
      </c>
    </row>
    <row r="5" spans="1:3" x14ac:dyDescent="0.25">
      <c r="A5" t="s">
        <v>27</v>
      </c>
      <c r="B5" s="2" t="s">
        <v>64</v>
      </c>
    </row>
    <row r="6" spans="1:3" x14ac:dyDescent="0.25">
      <c r="A6" t="s">
        <v>103</v>
      </c>
      <c r="B6" s="2" t="s">
        <v>104</v>
      </c>
    </row>
    <row r="7" spans="1:3" x14ac:dyDescent="0.25">
      <c r="A7" s="2" t="s">
        <v>206</v>
      </c>
      <c r="B7" s="2" t="s">
        <v>207</v>
      </c>
    </row>
    <row r="8" spans="1:3" x14ac:dyDescent="0.25">
      <c r="A8" t="s">
        <v>208</v>
      </c>
      <c r="B8" s="2" t="s">
        <v>209</v>
      </c>
    </row>
    <row r="9" spans="1:3" x14ac:dyDescent="0.25">
      <c r="A9" t="s">
        <v>210</v>
      </c>
      <c r="B9" s="2" t="s">
        <v>211</v>
      </c>
      <c r="C9" s="4"/>
    </row>
    <row r="10" spans="1:3" x14ac:dyDescent="0.25">
      <c r="A10" t="s">
        <v>92</v>
      </c>
      <c r="B10" s="2" t="s">
        <v>36</v>
      </c>
      <c r="C10" s="4"/>
    </row>
    <row r="11" spans="1:3" x14ac:dyDescent="0.25">
      <c r="A11" t="s">
        <v>212</v>
      </c>
      <c r="B11" s="2" t="s">
        <v>213</v>
      </c>
    </row>
    <row r="12" spans="1:3" x14ac:dyDescent="0.25">
      <c r="A12" t="s">
        <v>75</v>
      </c>
      <c r="B12" s="2" t="s">
        <v>36</v>
      </c>
    </row>
    <row r="13" spans="1:3" x14ac:dyDescent="0.25">
      <c r="A13" t="s">
        <v>214</v>
      </c>
      <c r="B13" s="2" t="s">
        <v>215</v>
      </c>
    </row>
    <row r="14" spans="1:3" x14ac:dyDescent="0.25">
      <c r="A14" t="s">
        <v>216</v>
      </c>
      <c r="B14" s="2" t="s">
        <v>217</v>
      </c>
    </row>
    <row r="15" spans="1:3" x14ac:dyDescent="0.25">
      <c r="A15" t="s">
        <v>218</v>
      </c>
      <c r="B15" s="2" t="s">
        <v>219</v>
      </c>
      <c r="C15" s="4"/>
    </row>
    <row r="16" spans="1:3" x14ac:dyDescent="0.25">
      <c r="A16" t="s">
        <v>220</v>
      </c>
      <c r="B16" s="2" t="s">
        <v>221</v>
      </c>
    </row>
    <row r="17" spans="1:3" x14ac:dyDescent="0.25">
      <c r="A17" t="s">
        <v>222</v>
      </c>
      <c r="B17" s="2" t="s">
        <v>223</v>
      </c>
    </row>
    <row r="18" spans="1:3" x14ac:dyDescent="0.25">
      <c r="A18" t="s">
        <v>224</v>
      </c>
      <c r="B18" s="2" t="s">
        <v>225</v>
      </c>
    </row>
    <row r="19" spans="1:3" x14ac:dyDescent="0.25">
      <c r="A19" t="s">
        <v>226</v>
      </c>
      <c r="B19" s="2" t="s">
        <v>227</v>
      </c>
    </row>
    <row r="20" spans="1:3" x14ac:dyDescent="0.25">
      <c r="A20" t="s">
        <v>38</v>
      </c>
      <c r="B20" s="2" t="s">
        <v>39</v>
      </c>
      <c r="C20" s="4"/>
    </row>
    <row r="21" spans="1:3" x14ac:dyDescent="0.25">
      <c r="A21" t="s">
        <v>56</v>
      </c>
      <c r="B21" s="2" t="s">
        <v>36</v>
      </c>
    </row>
    <row r="22" spans="1:3" x14ac:dyDescent="0.25">
      <c r="A22" t="s">
        <v>228</v>
      </c>
      <c r="B22" s="2" t="s">
        <v>229</v>
      </c>
    </row>
    <row r="23" spans="1:3" x14ac:dyDescent="0.25">
      <c r="A23" t="s">
        <v>43</v>
      </c>
      <c r="B23" s="2" t="s">
        <v>230</v>
      </c>
    </row>
    <row r="24" spans="1:3" x14ac:dyDescent="0.25">
      <c r="A24" t="s">
        <v>132</v>
      </c>
      <c r="B24" s="2" t="s">
        <v>133</v>
      </c>
      <c r="C24" s="4"/>
    </row>
    <row r="25" spans="1:3" x14ac:dyDescent="0.25">
      <c r="A25" t="s">
        <v>231</v>
      </c>
      <c r="B25" s="2" t="s">
        <v>232</v>
      </c>
      <c r="C25" s="4"/>
    </row>
    <row r="26" spans="1:3" x14ac:dyDescent="0.25">
      <c r="A26" s="2" t="s">
        <v>233</v>
      </c>
      <c r="B26" s="2" t="s">
        <v>234</v>
      </c>
    </row>
    <row r="27" spans="1:3" x14ac:dyDescent="0.25">
      <c r="A27" t="s">
        <v>235</v>
      </c>
      <c r="B27" s="2" t="s">
        <v>236</v>
      </c>
    </row>
    <row r="28" spans="1:3" x14ac:dyDescent="0.25">
      <c r="A28" t="s">
        <v>38</v>
      </c>
      <c r="B28" s="2" t="s">
        <v>39</v>
      </c>
      <c r="C28" s="4"/>
    </row>
    <row r="29" spans="1:3" x14ac:dyDescent="0.25">
      <c r="A29" t="s">
        <v>237</v>
      </c>
      <c r="B29" s="2" t="s">
        <v>238</v>
      </c>
    </row>
    <row r="30" spans="1:3" x14ac:dyDescent="0.25">
      <c r="A30" t="s">
        <v>239</v>
      </c>
      <c r="B30" s="2" t="s">
        <v>240</v>
      </c>
    </row>
    <row r="31" spans="1:3" x14ac:dyDescent="0.25">
      <c r="A31" t="s">
        <v>241</v>
      </c>
      <c r="B31" s="2" t="s">
        <v>242</v>
      </c>
    </row>
    <row r="32" spans="1:3" x14ac:dyDescent="0.25">
      <c r="A32" t="s">
        <v>243</v>
      </c>
      <c r="B32" s="2" t="s">
        <v>244</v>
      </c>
    </row>
    <row r="33" spans="1:3" x14ac:dyDescent="0.25">
      <c r="A33" t="s">
        <v>245</v>
      </c>
      <c r="B33" s="2" t="s">
        <v>246</v>
      </c>
    </row>
    <row r="34" spans="1:3" x14ac:dyDescent="0.25">
      <c r="A34" t="s">
        <v>247</v>
      </c>
      <c r="B34" s="2" t="s">
        <v>248</v>
      </c>
    </row>
    <row r="35" spans="1:3" x14ac:dyDescent="0.25">
      <c r="A35" t="s">
        <v>249</v>
      </c>
      <c r="B35" s="2" t="s">
        <v>250</v>
      </c>
    </row>
    <row r="36" spans="1:3" x14ac:dyDescent="0.25">
      <c r="A36" t="s">
        <v>251</v>
      </c>
      <c r="B36" s="2" t="s">
        <v>122</v>
      </c>
    </row>
    <row r="37" spans="1:3" x14ac:dyDescent="0.25">
      <c r="A37" t="s">
        <v>252</v>
      </c>
      <c r="B37" s="2" t="s">
        <v>240</v>
      </c>
    </row>
    <row r="38" spans="1:3" x14ac:dyDescent="0.25">
      <c r="A38" t="s">
        <v>125</v>
      </c>
      <c r="B38" s="2" t="s">
        <v>36</v>
      </c>
    </row>
    <row r="39" spans="1:3" x14ac:dyDescent="0.25">
      <c r="A39" t="s">
        <v>134</v>
      </c>
      <c r="B39" s="2" t="s">
        <v>36</v>
      </c>
    </row>
    <row r="40" spans="1:3" x14ac:dyDescent="0.25">
      <c r="A40" t="s">
        <v>91</v>
      </c>
      <c r="B40" s="2" t="s">
        <v>36</v>
      </c>
      <c r="C40" s="4"/>
    </row>
    <row r="41" spans="1:3" x14ac:dyDescent="0.25">
      <c r="A41" t="s">
        <v>253</v>
      </c>
      <c r="B41" s="2" t="s">
        <v>254</v>
      </c>
    </row>
    <row r="42" spans="1:3" x14ac:dyDescent="0.25">
      <c r="A42" t="s">
        <v>105</v>
      </c>
      <c r="B42" s="2" t="s">
        <v>255</v>
      </c>
    </row>
    <row r="43" spans="1:3" x14ac:dyDescent="0.25">
      <c r="A43" t="s">
        <v>256</v>
      </c>
      <c r="B43" s="2" t="s">
        <v>257</v>
      </c>
    </row>
    <row r="44" spans="1:3" x14ac:dyDescent="0.25">
      <c r="A44" t="s">
        <v>90</v>
      </c>
      <c r="B44" s="2" t="s">
        <v>258</v>
      </c>
      <c r="C44" s="4">
        <v>44455</v>
      </c>
    </row>
    <row r="45" spans="1:3" x14ac:dyDescent="0.25">
      <c r="A45" t="s">
        <v>259</v>
      </c>
      <c r="B45" s="2" t="s">
        <v>260</v>
      </c>
    </row>
    <row r="46" spans="1:3" x14ac:dyDescent="0.25">
      <c r="A46" t="s">
        <v>261</v>
      </c>
      <c r="B46" s="2" t="s">
        <v>36</v>
      </c>
    </row>
    <row r="47" spans="1:3" x14ac:dyDescent="0.25">
      <c r="A47" t="s">
        <v>46</v>
      </c>
      <c r="B47" s="2" t="s">
        <v>262</v>
      </c>
    </row>
    <row r="48" spans="1:3" x14ac:dyDescent="0.25">
      <c r="A48" t="s">
        <v>72</v>
      </c>
      <c r="B48" s="2" t="s">
        <v>73</v>
      </c>
    </row>
    <row r="49" spans="1:3" x14ac:dyDescent="0.25">
      <c r="A49" t="s">
        <v>263</v>
      </c>
      <c r="B49" s="2" t="s">
        <v>238</v>
      </c>
    </row>
    <row r="50" spans="1:3" x14ac:dyDescent="0.25">
      <c r="A50" t="s">
        <v>264</v>
      </c>
      <c r="B50" s="2" t="s">
        <v>236</v>
      </c>
    </row>
    <row r="51" spans="1:3" x14ac:dyDescent="0.25">
      <c r="A51" t="s">
        <v>265</v>
      </c>
      <c r="B51" s="2" t="s">
        <v>234</v>
      </c>
    </row>
    <row r="52" spans="1:3" x14ac:dyDescent="0.25">
      <c r="A52" t="s">
        <v>35</v>
      </c>
      <c r="B52" s="2" t="s">
        <v>36</v>
      </c>
      <c r="C52" s="4"/>
    </row>
    <row r="53" spans="1:3" x14ac:dyDescent="0.25">
      <c r="A53" t="s">
        <v>266</v>
      </c>
      <c r="B53" s="2" t="s">
        <v>207</v>
      </c>
      <c r="C53" s="4"/>
    </row>
    <row r="54" spans="1:3" x14ac:dyDescent="0.25">
      <c r="A54" t="s">
        <v>129</v>
      </c>
      <c r="B54" s="2" t="s">
        <v>115</v>
      </c>
      <c r="C54" s="4"/>
    </row>
    <row r="55" spans="1:3" x14ac:dyDescent="0.25">
      <c r="A55" t="s">
        <v>52</v>
      </c>
      <c r="B55" s="2" t="s">
        <v>53</v>
      </c>
      <c r="C55" s="4"/>
    </row>
    <row r="56" spans="1:3" x14ac:dyDescent="0.25">
      <c r="A56" t="s">
        <v>267</v>
      </c>
      <c r="B56" s="2" t="s">
        <v>268</v>
      </c>
    </row>
    <row r="57" spans="1:3" x14ac:dyDescent="0.25">
      <c r="A57" t="s">
        <v>269</v>
      </c>
      <c r="B57" s="2" t="s">
        <v>270</v>
      </c>
      <c r="C57" s="4">
        <v>44455</v>
      </c>
    </row>
    <row r="58" spans="1:3" x14ac:dyDescent="0.25">
      <c r="A58" t="s">
        <v>48</v>
      </c>
      <c r="B58" s="2" t="s">
        <v>271</v>
      </c>
    </row>
    <row r="59" spans="1:3" x14ac:dyDescent="0.25">
      <c r="A59" t="s">
        <v>272</v>
      </c>
      <c r="B59" s="2" t="s">
        <v>273</v>
      </c>
      <c r="C59" s="4"/>
    </row>
    <row r="60" spans="1:3" x14ac:dyDescent="0.25">
      <c r="A60" t="s">
        <v>274</v>
      </c>
      <c r="B60" s="2" t="s">
        <v>275</v>
      </c>
    </row>
    <row r="61" spans="1:3" x14ac:dyDescent="0.25">
      <c r="A61" t="s">
        <v>81</v>
      </c>
      <c r="B61" s="2" t="s">
        <v>82</v>
      </c>
    </row>
    <row r="62" spans="1:3" x14ac:dyDescent="0.25">
      <c r="A62" t="s">
        <v>276</v>
      </c>
      <c r="B62" s="2" t="s">
        <v>277</v>
      </c>
      <c r="C62" s="4"/>
    </row>
    <row r="63" spans="1:3" x14ac:dyDescent="0.25">
      <c r="A63" t="s">
        <v>61</v>
      </c>
      <c r="B63" s="2" t="s">
        <v>62</v>
      </c>
      <c r="C63" s="4"/>
    </row>
    <row r="64" spans="1:3" x14ac:dyDescent="0.25">
      <c r="A64" t="s">
        <v>94</v>
      </c>
      <c r="B64" s="2" t="s">
        <v>278</v>
      </c>
    </row>
    <row r="65" spans="1:3" x14ac:dyDescent="0.25">
      <c r="A65" t="s">
        <v>126</v>
      </c>
      <c r="B65" s="2" t="s">
        <v>255</v>
      </c>
      <c r="C65" s="4"/>
    </row>
    <row r="66" spans="1:3" x14ac:dyDescent="0.25">
      <c r="A66" t="s">
        <v>279</v>
      </c>
      <c r="B66" s="2" t="s">
        <v>280</v>
      </c>
    </row>
    <row r="67" spans="1:3" x14ac:dyDescent="0.25">
      <c r="A67" t="s">
        <v>281</v>
      </c>
      <c r="B67" s="2" t="s">
        <v>282</v>
      </c>
    </row>
    <row r="68" spans="1:3" x14ac:dyDescent="0.25">
      <c r="A68" t="s">
        <v>90</v>
      </c>
      <c r="B68" s="2" t="s">
        <v>36</v>
      </c>
      <c r="C68" s="4"/>
    </row>
    <row r="69" spans="1:3" x14ac:dyDescent="0.25">
      <c r="A69" t="s">
        <v>111</v>
      </c>
      <c r="B69" s="2" t="s">
        <v>64</v>
      </c>
    </row>
    <row r="70" spans="1:3" x14ac:dyDescent="0.25">
      <c r="A70" t="s">
        <v>114</v>
      </c>
      <c r="B70" s="2" t="s">
        <v>115</v>
      </c>
    </row>
    <row r="71" spans="1:3" x14ac:dyDescent="0.25">
      <c r="A71" t="s">
        <v>46</v>
      </c>
      <c r="B71" s="2" t="s">
        <v>47</v>
      </c>
      <c r="C71" s="4"/>
    </row>
    <row r="72" spans="1:3" x14ac:dyDescent="0.25">
      <c r="A72" t="s">
        <v>46</v>
      </c>
      <c r="B72" s="2" t="s">
        <v>36</v>
      </c>
    </row>
    <row r="73" spans="1:3" x14ac:dyDescent="0.25">
      <c r="A73" t="s">
        <v>120</v>
      </c>
      <c r="B73" s="2" t="s">
        <v>121</v>
      </c>
      <c r="C73" s="4"/>
    </row>
    <row r="74" spans="1:3" x14ac:dyDescent="0.25">
      <c r="A74" t="s">
        <v>137</v>
      </c>
      <c r="B74" s="2" t="s">
        <v>138</v>
      </c>
    </row>
    <row r="75" spans="1:3" x14ac:dyDescent="0.25">
      <c r="A75" t="s">
        <v>101</v>
      </c>
      <c r="B75" s="2" t="s">
        <v>102</v>
      </c>
    </row>
    <row r="76" spans="1:3" x14ac:dyDescent="0.25">
      <c r="A76" t="s">
        <v>88</v>
      </c>
      <c r="B76" s="2" t="s">
        <v>89</v>
      </c>
    </row>
    <row r="77" spans="1:3" x14ac:dyDescent="0.25">
      <c r="A77" t="s">
        <v>86</v>
      </c>
      <c r="B77" s="2" t="s">
        <v>36</v>
      </c>
    </row>
    <row r="78" spans="1:3" x14ac:dyDescent="0.25">
      <c r="A78" t="s">
        <v>52</v>
      </c>
      <c r="B78" s="2" t="s">
        <v>53</v>
      </c>
      <c r="C78" s="4"/>
    </row>
    <row r="79" spans="1:3" x14ac:dyDescent="0.25">
      <c r="A79" t="s">
        <v>103</v>
      </c>
      <c r="B79" s="2" t="s">
        <v>104</v>
      </c>
    </row>
    <row r="80" spans="1:3" x14ac:dyDescent="0.25">
      <c r="A80" t="s">
        <v>96</v>
      </c>
      <c r="B80" s="2" t="s">
        <v>97</v>
      </c>
    </row>
    <row r="81" spans="1:3" x14ac:dyDescent="0.25">
      <c r="A81" t="s">
        <v>43</v>
      </c>
      <c r="B81" s="2" t="s">
        <v>44</v>
      </c>
    </row>
    <row r="82" spans="1:3" x14ac:dyDescent="0.25">
      <c r="A82" t="s">
        <v>83</v>
      </c>
      <c r="B82" s="2" t="s">
        <v>44</v>
      </c>
    </row>
    <row r="83" spans="1:3" x14ac:dyDescent="0.25">
      <c r="A83" t="s">
        <v>110</v>
      </c>
      <c r="B83" s="2" t="s">
        <v>44</v>
      </c>
      <c r="C83" s="4"/>
    </row>
    <row r="84" spans="1:3" x14ac:dyDescent="0.25">
      <c r="A84" t="s">
        <v>127</v>
      </c>
      <c r="B84" s="2" t="s">
        <v>128</v>
      </c>
    </row>
    <row r="85" spans="1:3" x14ac:dyDescent="0.25">
      <c r="A85" t="s">
        <v>57</v>
      </c>
      <c r="B85" s="2" t="s">
        <v>58</v>
      </c>
      <c r="C85" s="4"/>
    </row>
    <row r="86" spans="1:3" x14ac:dyDescent="0.25">
      <c r="A86" t="s">
        <v>70</v>
      </c>
      <c r="B86" s="2" t="s">
        <v>71</v>
      </c>
    </row>
    <row r="87" spans="1:3" x14ac:dyDescent="0.25">
      <c r="A87" t="s">
        <v>109</v>
      </c>
      <c r="B87" s="2" t="s">
        <v>36</v>
      </c>
    </row>
    <row r="88" spans="1:3" x14ac:dyDescent="0.25">
      <c r="A88" t="s">
        <v>112</v>
      </c>
      <c r="B88" s="2" t="s">
        <v>113</v>
      </c>
    </row>
    <row r="89" spans="1:3" x14ac:dyDescent="0.25">
      <c r="A89" t="s">
        <v>116</v>
      </c>
      <c r="B89" s="2" t="s">
        <v>36</v>
      </c>
      <c r="C89" s="4"/>
    </row>
    <row r="90" spans="1:3" x14ac:dyDescent="0.25">
      <c r="A90" t="s">
        <v>99</v>
      </c>
      <c r="B90" s="2" t="s">
        <v>100</v>
      </c>
    </row>
    <row r="91" spans="1:3" x14ac:dyDescent="0.25">
      <c r="A91" t="s">
        <v>50</v>
      </c>
      <c r="B91" s="2" t="s">
        <v>51</v>
      </c>
    </row>
    <row r="92" spans="1:3" x14ac:dyDescent="0.25">
      <c r="A92" t="s">
        <v>79</v>
      </c>
      <c r="B92" s="2" t="s">
        <v>80</v>
      </c>
      <c r="C92" s="4"/>
    </row>
    <row r="93" spans="1:3" x14ac:dyDescent="0.25">
      <c r="A93" t="s">
        <v>56</v>
      </c>
      <c r="B93" s="2" t="s">
        <v>36</v>
      </c>
    </row>
    <row r="94" spans="1:3" x14ac:dyDescent="0.25">
      <c r="A94" t="s">
        <v>61</v>
      </c>
      <c r="B94" s="2" t="s">
        <v>62</v>
      </c>
    </row>
    <row r="95" spans="1:3" x14ac:dyDescent="0.25">
      <c r="A95" t="s">
        <v>91</v>
      </c>
      <c r="B95" s="2" t="s">
        <v>36</v>
      </c>
    </row>
    <row r="96" spans="1:3" x14ac:dyDescent="0.25">
      <c r="A96" t="s">
        <v>126</v>
      </c>
      <c r="B96" s="2" t="s">
        <v>100</v>
      </c>
    </row>
    <row r="97" spans="1:3" x14ac:dyDescent="0.25">
      <c r="A97" t="s">
        <v>125</v>
      </c>
      <c r="B97" s="2" t="s">
        <v>36</v>
      </c>
    </row>
    <row r="98" spans="1:3" x14ac:dyDescent="0.25">
      <c r="A98" t="s">
        <v>32</v>
      </c>
      <c r="B98" s="2" t="s">
        <v>33</v>
      </c>
    </row>
    <row r="100" spans="1:3" x14ac:dyDescent="0.25">
      <c r="C100" s="4"/>
    </row>
  </sheetData>
  <autoFilter ref="A1:C114" xr:uid="{0CF5E5A6-ACD6-46A7-BADE-745CABFBA12A}">
    <sortState xmlns:xlrd2="http://schemas.microsoft.com/office/spreadsheetml/2017/richdata2" ref="A2:C100">
      <sortCondition ref="A1:A114"/>
    </sortState>
  </autoFilter>
  <sortState xmlns:xlrd2="http://schemas.microsoft.com/office/spreadsheetml/2017/richdata2" ref="A1:B113">
    <sortCondition ref="A1:A113"/>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A3526-B3A7-482A-8CFD-7E10656286EE}">
  <sheetPr codeName="Sheet3"/>
  <dimension ref="A1:E21"/>
  <sheetViews>
    <sheetView workbookViewId="0">
      <selection activeCell="D3" sqref="D3"/>
    </sheetView>
  </sheetViews>
  <sheetFormatPr defaultRowHeight="15" x14ac:dyDescent="0.25"/>
  <cols>
    <col min="1" max="1" width="53" customWidth="1"/>
    <col min="2" max="2" width="7.5703125" customWidth="1"/>
    <col min="3" max="3" width="8.7109375" style="2" customWidth="1"/>
    <col min="4" max="4" width="53.5703125" customWidth="1"/>
  </cols>
  <sheetData>
    <row r="1" spans="1:5" x14ac:dyDescent="0.25">
      <c r="A1" t="str" cm="1">
        <f t="array" ref="A1">"{"&amp;_xlfn.CONCAT(TRANSPOSE(D:D))&amp;"};"</f>
        <v>{"Design Cooling Airflow", "Design Cooling Entering Air DB Temperature", "Design Cooling Entering Air WB Temperature", "Design Cooling Leaving Air DB Temperature", "Design Cooling Leaving Air WB Temperature", "Design Cooling Leaving Water Temperature", "Design Cooling Total Capacity", "Design Cooling Water Flow", "Design Cooling Water Pressure Drop", "Design Heating Entering Air DB Temperature", "Design Heating Entering Water Temperature", "Design Heating Leaving Air DB Temperature", "Design Heating Leaving Water Temperature", "Design Heating Total Capacity", "Design Heating Water Pressure Drop", "Design Maximum Overcurrent Protection (MOCP)", "Design Maximum Supply Airflow", "Design Maximum Weight"};</v>
      </c>
    </row>
    <row r="2" spans="1:5" x14ac:dyDescent="0.25">
      <c r="A2" t="str" cm="1">
        <f t="array" ref="A2">"{"&amp;_xlfn.CONCAT(TRANSPOSE(E:E))&amp;"};"</f>
        <v>{250,1.16063559597977, 1.13458658041548, 1.11070831614822, 1.11070831614822, 1.11070831614822, 7.7,2,1.75,1.14978183949465, 1.30173443028632, 1.19753836802917, 1.23661189137561, 6.1,0.25,15,250,109};</v>
      </c>
    </row>
    <row r="3" spans="1:5" x14ac:dyDescent="0.25">
      <c r="A3" t="s">
        <v>20</v>
      </c>
      <c r="B3">
        <v>250</v>
      </c>
      <c r="D3" t="str">
        <f t="shared" ref="D3:D19" si="0">""""&amp;A3&amp;""""&amp;", "</f>
        <v xml:space="preserve">"Design Cooling Airflow", </v>
      </c>
      <c r="E3" t="str">
        <f>IF(ISNUMBER(SEARCH("Temperature",A3)), (B3+459.67)/460.67&amp;", ", B3&amp;",")</f>
        <v>250,</v>
      </c>
    </row>
    <row r="4" spans="1:5" x14ac:dyDescent="0.25">
      <c r="A4" t="s">
        <v>15</v>
      </c>
      <c r="B4">
        <v>75</v>
      </c>
      <c r="D4" t="str">
        <f t="shared" si="0"/>
        <v xml:space="preserve">"Design Cooling Entering Air DB Temperature", </v>
      </c>
      <c r="E4" t="str">
        <f t="shared" ref="E4:E19" si="1">IF(ISNUMBER(SEARCH("Temperature",A4)), (B4+459.67)/460.67&amp;", ", B4&amp;",")</f>
        <v xml:space="preserve">1.16063559597977, </v>
      </c>
    </row>
    <row r="5" spans="1:5" x14ac:dyDescent="0.25">
      <c r="A5" t="s">
        <v>24</v>
      </c>
      <c r="B5">
        <v>63</v>
      </c>
      <c r="D5" t="str">
        <f t="shared" si="0"/>
        <v xml:space="preserve">"Design Cooling Entering Air WB Temperature", </v>
      </c>
      <c r="E5" t="str">
        <f t="shared" si="1"/>
        <v xml:space="preserve">1.13458658041548, </v>
      </c>
    </row>
    <row r="6" spans="1:5" x14ac:dyDescent="0.25">
      <c r="A6" t="s">
        <v>19</v>
      </c>
      <c r="B6">
        <v>52</v>
      </c>
      <c r="D6" t="str">
        <f t="shared" si="0"/>
        <v xml:space="preserve">"Design Cooling Leaving Air DB Temperature", </v>
      </c>
      <c r="E6" t="str">
        <f t="shared" si="1"/>
        <v xml:space="preserve">1.11070831614822, </v>
      </c>
    </row>
    <row r="7" spans="1:5" x14ac:dyDescent="0.25">
      <c r="A7" t="s">
        <v>16</v>
      </c>
      <c r="B7">
        <v>52</v>
      </c>
      <c r="D7" t="str">
        <f t="shared" si="0"/>
        <v xml:space="preserve">"Design Cooling Leaving Air WB Temperature", </v>
      </c>
      <c r="E7" t="str">
        <f t="shared" si="1"/>
        <v xml:space="preserve">1.11070831614822, </v>
      </c>
    </row>
    <row r="8" spans="1:5" x14ac:dyDescent="0.25">
      <c r="A8" t="s">
        <v>25</v>
      </c>
      <c r="B8">
        <v>52</v>
      </c>
      <c r="D8" t="str">
        <f t="shared" si="0"/>
        <v xml:space="preserve">"Design Cooling Leaving Water Temperature", </v>
      </c>
      <c r="E8" t="str">
        <f t="shared" si="1"/>
        <v xml:space="preserve">1.11070831614822, </v>
      </c>
    </row>
    <row r="9" spans="1:5" x14ac:dyDescent="0.25">
      <c r="A9" t="s">
        <v>18</v>
      </c>
      <c r="B9">
        <v>7.7</v>
      </c>
      <c r="D9" t="str">
        <f t="shared" si="0"/>
        <v xml:space="preserve">"Design Cooling Total Capacity", </v>
      </c>
      <c r="E9" t="str">
        <f t="shared" si="1"/>
        <v>7.7,</v>
      </c>
    </row>
    <row r="10" spans="1:5" x14ac:dyDescent="0.25">
      <c r="A10" t="s">
        <v>14</v>
      </c>
      <c r="B10">
        <v>2</v>
      </c>
      <c r="D10" t="str">
        <f t="shared" si="0"/>
        <v xml:space="preserve">"Design Cooling Water Flow", </v>
      </c>
      <c r="E10" t="str">
        <f t="shared" si="1"/>
        <v>2,</v>
      </c>
    </row>
    <row r="11" spans="1:5" x14ac:dyDescent="0.25">
      <c r="A11" t="s">
        <v>17</v>
      </c>
      <c r="B11">
        <v>1.75</v>
      </c>
      <c r="D11" t="str">
        <f t="shared" si="0"/>
        <v xml:space="preserve">"Design Cooling Water Pressure Drop", </v>
      </c>
      <c r="E11" t="str">
        <f t="shared" si="1"/>
        <v>1.75,</v>
      </c>
    </row>
    <row r="12" spans="1:5" x14ac:dyDescent="0.25">
      <c r="A12" t="s">
        <v>21</v>
      </c>
      <c r="B12">
        <v>70</v>
      </c>
      <c r="D12" t="str">
        <f t="shared" si="0"/>
        <v xml:space="preserve">"Design Heating Entering Air DB Temperature", </v>
      </c>
      <c r="E12" t="str">
        <f t="shared" si="1"/>
        <v xml:space="preserve">1.14978183949465, </v>
      </c>
    </row>
    <row r="13" spans="1:5" x14ac:dyDescent="0.25">
      <c r="A13" t="s">
        <v>23</v>
      </c>
      <c r="B13">
        <v>140</v>
      </c>
      <c r="D13" t="str">
        <f t="shared" si="0"/>
        <v xml:space="preserve">"Design Heating Entering Water Temperature", </v>
      </c>
      <c r="E13" t="str">
        <f t="shared" si="1"/>
        <v xml:space="preserve">1.30173443028632, </v>
      </c>
    </row>
    <row r="14" spans="1:5" x14ac:dyDescent="0.25">
      <c r="A14" t="s">
        <v>22</v>
      </c>
      <c r="B14">
        <v>92</v>
      </c>
      <c r="D14" t="str">
        <f t="shared" si="0"/>
        <v xml:space="preserve">"Design Heating Leaving Air DB Temperature", </v>
      </c>
      <c r="E14" t="str">
        <f t="shared" si="1"/>
        <v xml:space="preserve">1.19753836802917, </v>
      </c>
    </row>
    <row r="15" spans="1:5" x14ac:dyDescent="0.25">
      <c r="A15" t="s">
        <v>12</v>
      </c>
      <c r="B15">
        <v>110</v>
      </c>
      <c r="D15" t="str">
        <f t="shared" si="0"/>
        <v xml:space="preserve">"Design Heating Leaving Water Temperature", </v>
      </c>
      <c r="E15" t="str">
        <f t="shared" si="1"/>
        <v xml:space="preserve">1.23661189137561, </v>
      </c>
    </row>
    <row r="16" spans="1:5" x14ac:dyDescent="0.25">
      <c r="A16" t="s">
        <v>13</v>
      </c>
      <c r="B16">
        <v>6.1</v>
      </c>
      <c r="D16" t="str">
        <f t="shared" si="0"/>
        <v xml:space="preserve">"Design Heating Total Capacity", </v>
      </c>
      <c r="E16" t="str">
        <f t="shared" si="1"/>
        <v>6.1,</v>
      </c>
    </row>
    <row r="17" spans="1:5" x14ac:dyDescent="0.25">
      <c r="A17" t="s">
        <v>26</v>
      </c>
      <c r="B17">
        <v>0.25</v>
      </c>
      <c r="D17" t="str">
        <f t="shared" si="0"/>
        <v xml:space="preserve">"Design Heating Water Pressure Drop", </v>
      </c>
      <c r="E17" t="str">
        <f t="shared" si="1"/>
        <v>0.25,</v>
      </c>
    </row>
    <row r="18" spans="1:5" x14ac:dyDescent="0.25">
      <c r="A18" t="s">
        <v>27</v>
      </c>
      <c r="B18">
        <v>15</v>
      </c>
      <c r="D18" t="str">
        <f t="shared" si="0"/>
        <v xml:space="preserve">"Design Maximum Overcurrent Protection (MOCP)", </v>
      </c>
      <c r="E18" t="str">
        <f t="shared" si="1"/>
        <v>15,</v>
      </c>
    </row>
    <row r="19" spans="1:5" x14ac:dyDescent="0.25">
      <c r="A19" t="s">
        <v>28</v>
      </c>
      <c r="B19">
        <v>250</v>
      </c>
      <c r="D19" t="str">
        <f t="shared" si="0"/>
        <v xml:space="preserve">"Design Maximum Supply Airflow", </v>
      </c>
      <c r="E19" t="str">
        <f t="shared" si="1"/>
        <v>250,</v>
      </c>
    </row>
    <row r="20" spans="1:5" x14ac:dyDescent="0.25">
      <c r="A20" t="s">
        <v>29</v>
      </c>
      <c r="B20">
        <v>109</v>
      </c>
      <c r="D20" t="str">
        <f>""""&amp;A20&amp;""""</f>
        <v>"Design Maximum Weight"</v>
      </c>
      <c r="E20">
        <f>IF(ISNUMBER(SEARCH("Temperature",A20)), (B20+459.67)/460.67&amp;", ", B20)</f>
        <v>109</v>
      </c>
    </row>
    <row r="21" spans="1:5" x14ac:dyDescent="0.25">
      <c r="A21" s="2"/>
      <c r="C21" s="3"/>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23AF-8C9D-4892-81F1-94FE527626F1}">
  <sheetPr codeName="Sheet4"/>
  <dimension ref="A1:B4"/>
  <sheetViews>
    <sheetView workbookViewId="0">
      <selection activeCell="M17" sqref="M17"/>
    </sheetView>
  </sheetViews>
  <sheetFormatPr defaultRowHeight="15" x14ac:dyDescent="0.25"/>
  <sheetData>
    <row r="1" spans="1:2" x14ac:dyDescent="0.25">
      <c r="A1">
        <v>0</v>
      </c>
      <c r="B1">
        <v>-459.67</v>
      </c>
    </row>
    <row r="2" spans="1:2" x14ac:dyDescent="0.25">
      <c r="A2">
        <v>1</v>
      </c>
      <c r="B2">
        <v>1</v>
      </c>
    </row>
    <row r="3" spans="1:2" x14ac:dyDescent="0.25">
      <c r="A3">
        <v>2</v>
      </c>
      <c r="B3">
        <v>461.67</v>
      </c>
    </row>
    <row r="4" spans="1:2" x14ac:dyDescent="0.25">
      <c r="A4">
        <v>3</v>
      </c>
      <c r="B4">
        <v>922.34</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5A4A1-EA8F-486C-B35A-29668A7CEAF5}">
  <sheetPr codeName="Sheet6"/>
  <dimension ref="A1:O98"/>
  <sheetViews>
    <sheetView workbookViewId="0">
      <selection activeCell="M14" sqref="M14"/>
    </sheetView>
  </sheetViews>
  <sheetFormatPr defaultRowHeight="15" x14ac:dyDescent="0.25"/>
  <cols>
    <col min="1" max="1" width="37" bestFit="1" customWidth="1"/>
    <col min="2" max="2" width="39" bestFit="1" customWidth="1"/>
    <col min="3" max="3" width="33.28515625" style="9" bestFit="1" customWidth="1"/>
    <col min="4" max="4" width="9.7109375" bestFit="1" customWidth="1"/>
    <col min="5" max="5" width="37" style="9" bestFit="1" customWidth="1"/>
  </cols>
  <sheetData>
    <row r="1" spans="1:15" x14ac:dyDescent="0.25">
      <c r="A1" t="s">
        <v>167</v>
      </c>
      <c r="B1" t="s">
        <v>166</v>
      </c>
      <c r="C1" s="9" t="s">
        <v>171</v>
      </c>
      <c r="D1" t="s">
        <v>170</v>
      </c>
      <c r="E1" s="9" t="s">
        <v>200</v>
      </c>
      <c r="F1" t="s">
        <v>201</v>
      </c>
      <c r="N1">
        <v>30</v>
      </c>
      <c r="O1" t="s">
        <v>169</v>
      </c>
    </row>
    <row r="2" spans="1:15" x14ac:dyDescent="0.25">
      <c r="A2" t="s">
        <v>151</v>
      </c>
      <c r="B2" t="s">
        <v>172</v>
      </c>
      <c r="C2" s="9" t="s">
        <v>163</v>
      </c>
      <c r="D2">
        <v>5</v>
      </c>
      <c r="E2" s="9" t="s">
        <v>31</v>
      </c>
      <c r="F2">
        <v>0.234375</v>
      </c>
      <c r="N2">
        <v>14</v>
      </c>
      <c r="O2" t="s">
        <v>168</v>
      </c>
    </row>
    <row r="3" spans="1:15" x14ac:dyDescent="0.25">
      <c r="A3" t="s">
        <v>38</v>
      </c>
      <c r="B3" t="s">
        <v>173</v>
      </c>
      <c r="C3" s="9" t="s">
        <v>123</v>
      </c>
      <c r="D3">
        <v>10</v>
      </c>
      <c r="E3" s="9" t="s">
        <v>93</v>
      </c>
      <c r="F3">
        <v>0.42975205183029175</v>
      </c>
    </row>
    <row r="4" spans="1:15" x14ac:dyDescent="0.25">
      <c r="A4" t="s">
        <v>38</v>
      </c>
      <c r="B4" t="s">
        <v>174</v>
      </c>
      <c r="C4" s="9" t="s">
        <v>54</v>
      </c>
      <c r="D4">
        <v>6</v>
      </c>
      <c r="E4" s="9" t="s">
        <v>117</v>
      </c>
      <c r="F4">
        <v>0.59340661764144897</v>
      </c>
    </row>
    <row r="5" spans="1:15" x14ac:dyDescent="0.25">
      <c r="A5" t="s">
        <v>154</v>
      </c>
      <c r="B5" t="s">
        <v>175</v>
      </c>
      <c r="C5" s="9" t="s">
        <v>54</v>
      </c>
      <c r="D5">
        <v>6</v>
      </c>
      <c r="E5" s="9" t="s">
        <v>68</v>
      </c>
      <c r="F5">
        <v>0.59340661764144897</v>
      </c>
    </row>
    <row r="6" spans="1:15" x14ac:dyDescent="0.25">
      <c r="A6" t="s">
        <v>162</v>
      </c>
      <c r="B6" t="s">
        <v>176</v>
      </c>
      <c r="C6" s="9" t="s">
        <v>54</v>
      </c>
      <c r="D6">
        <v>5</v>
      </c>
      <c r="E6" s="9" t="s">
        <v>54</v>
      </c>
      <c r="F6">
        <v>0.61417323350906372</v>
      </c>
    </row>
    <row r="7" spans="1:15" x14ac:dyDescent="0.25">
      <c r="A7" t="s">
        <v>158</v>
      </c>
      <c r="B7" t="s">
        <v>177</v>
      </c>
      <c r="C7" s="9" t="s">
        <v>107</v>
      </c>
      <c r="D7">
        <v>6</v>
      </c>
      <c r="E7" s="9" t="s">
        <v>63</v>
      </c>
      <c r="F7">
        <v>0.58426964282989502</v>
      </c>
    </row>
    <row r="8" spans="1:15" x14ac:dyDescent="0.25">
      <c r="A8" t="s">
        <v>164</v>
      </c>
      <c r="B8" t="s">
        <v>178</v>
      </c>
      <c r="C8" s="9" t="s">
        <v>107</v>
      </c>
      <c r="D8">
        <v>6</v>
      </c>
      <c r="E8" s="9" t="s">
        <v>63</v>
      </c>
      <c r="F8">
        <v>0.58426964282989502</v>
      </c>
    </row>
    <row r="9" spans="1:15" x14ac:dyDescent="0.25">
      <c r="A9" t="s">
        <v>163</v>
      </c>
      <c r="B9" t="s">
        <v>179</v>
      </c>
      <c r="C9" s="9" t="s">
        <v>107</v>
      </c>
      <c r="D9">
        <v>5</v>
      </c>
      <c r="E9" s="9" t="s">
        <v>107</v>
      </c>
      <c r="F9">
        <v>0.63414633274078369</v>
      </c>
    </row>
    <row r="10" spans="1:15" x14ac:dyDescent="0.25">
      <c r="A10" t="s">
        <v>146</v>
      </c>
      <c r="B10" t="s">
        <v>180</v>
      </c>
      <c r="C10" s="9" t="s">
        <v>79</v>
      </c>
      <c r="D10">
        <v>12</v>
      </c>
      <c r="E10" s="9" t="s">
        <v>70</v>
      </c>
      <c r="F10">
        <v>0.39080458879470825</v>
      </c>
    </row>
    <row r="11" spans="1:15" x14ac:dyDescent="0.25">
      <c r="A11" t="s">
        <v>94</v>
      </c>
      <c r="B11" t="s">
        <v>181</v>
      </c>
      <c r="C11" s="9" t="s">
        <v>50</v>
      </c>
      <c r="D11">
        <v>12</v>
      </c>
      <c r="E11" s="9" t="s">
        <v>50</v>
      </c>
      <c r="F11">
        <v>0.40540540218353271</v>
      </c>
    </row>
    <row r="12" spans="1:15" x14ac:dyDescent="0.25">
      <c r="A12" t="s">
        <v>143</v>
      </c>
      <c r="B12" t="s">
        <v>182</v>
      </c>
      <c r="C12" s="9" t="s">
        <v>93</v>
      </c>
      <c r="D12">
        <v>10</v>
      </c>
      <c r="E12" s="9" t="s">
        <v>93</v>
      </c>
      <c r="F12">
        <v>0.44029849767684937</v>
      </c>
    </row>
    <row r="13" spans="1:15" x14ac:dyDescent="0.25">
      <c r="A13" t="s">
        <v>156</v>
      </c>
      <c r="B13" t="s">
        <v>183</v>
      </c>
      <c r="C13" s="9" t="s">
        <v>136</v>
      </c>
      <c r="D13">
        <v>5</v>
      </c>
      <c r="E13" s="9" t="s">
        <v>136</v>
      </c>
      <c r="F13">
        <v>0.44210526347160339</v>
      </c>
    </row>
    <row r="14" spans="1:15" x14ac:dyDescent="0.25">
      <c r="A14" t="s">
        <v>139</v>
      </c>
      <c r="B14" t="s">
        <v>184</v>
      </c>
      <c r="C14" s="9" t="s">
        <v>96</v>
      </c>
      <c r="D14">
        <v>10</v>
      </c>
      <c r="E14" s="9" t="s">
        <v>66</v>
      </c>
      <c r="F14">
        <v>0.42975205183029175</v>
      </c>
    </row>
    <row r="15" spans="1:15" x14ac:dyDescent="0.25">
      <c r="A15" t="s">
        <v>144</v>
      </c>
      <c r="B15" t="s">
        <v>185</v>
      </c>
      <c r="C15" s="9" t="s">
        <v>34</v>
      </c>
      <c r="D15">
        <v>6</v>
      </c>
      <c r="E15" s="9" t="s">
        <v>65</v>
      </c>
      <c r="F15">
        <v>0.59340661764144897</v>
      </c>
    </row>
    <row r="16" spans="1:15" x14ac:dyDescent="0.25">
      <c r="A16" t="s">
        <v>144</v>
      </c>
      <c r="B16" t="s">
        <v>186</v>
      </c>
      <c r="C16" s="9" t="s">
        <v>34</v>
      </c>
      <c r="D16">
        <v>5</v>
      </c>
      <c r="E16" s="9" t="s">
        <v>34</v>
      </c>
      <c r="F16">
        <v>0.61417323350906372</v>
      </c>
    </row>
    <row r="17" spans="1:6" x14ac:dyDescent="0.25">
      <c r="A17" t="s">
        <v>157</v>
      </c>
      <c r="B17" t="s">
        <v>187</v>
      </c>
      <c r="C17" s="9" t="s">
        <v>87</v>
      </c>
      <c r="D17">
        <v>6</v>
      </c>
      <c r="E17" s="9" t="s">
        <v>98</v>
      </c>
      <c r="F17">
        <v>0.58426964282989502</v>
      </c>
    </row>
    <row r="18" spans="1:6" x14ac:dyDescent="0.25">
      <c r="A18" t="s">
        <v>147</v>
      </c>
      <c r="B18" t="s">
        <v>188</v>
      </c>
      <c r="C18" s="9" t="s">
        <v>87</v>
      </c>
      <c r="D18">
        <v>5</v>
      </c>
      <c r="E18" s="9" t="s">
        <v>87</v>
      </c>
      <c r="F18">
        <v>0.63414633274078369</v>
      </c>
    </row>
    <row r="19" spans="1:6" x14ac:dyDescent="0.25">
      <c r="A19" t="s">
        <v>142</v>
      </c>
      <c r="B19" t="s">
        <v>189</v>
      </c>
      <c r="C19" s="9" t="s">
        <v>70</v>
      </c>
      <c r="D19">
        <v>12</v>
      </c>
      <c r="E19" s="9" t="s">
        <v>79</v>
      </c>
      <c r="F19">
        <v>0.40540540218353271</v>
      </c>
    </row>
    <row r="20" spans="1:6" x14ac:dyDescent="0.25">
      <c r="A20" t="s">
        <v>161</v>
      </c>
      <c r="B20" t="s">
        <v>190</v>
      </c>
      <c r="C20" s="9" t="s">
        <v>66</v>
      </c>
      <c r="D20">
        <v>10</v>
      </c>
      <c r="E20" s="9" t="s">
        <v>66</v>
      </c>
      <c r="F20">
        <v>0.44029849767684937</v>
      </c>
    </row>
    <row r="21" spans="1:6" x14ac:dyDescent="0.25">
      <c r="A21" t="s">
        <v>149</v>
      </c>
      <c r="B21" t="s">
        <v>191</v>
      </c>
      <c r="C21" s="9" t="s">
        <v>108</v>
      </c>
      <c r="D21">
        <v>5</v>
      </c>
      <c r="E21" s="9" t="s">
        <v>108</v>
      </c>
      <c r="F21">
        <v>0.44210526347160339</v>
      </c>
    </row>
    <row r="22" spans="1:6" x14ac:dyDescent="0.25">
      <c r="A22" t="s">
        <v>148</v>
      </c>
      <c r="B22" t="s">
        <v>192</v>
      </c>
      <c r="C22" s="9" t="s">
        <v>111</v>
      </c>
      <c r="D22">
        <v>7</v>
      </c>
      <c r="E22" s="9" t="s">
        <v>111</v>
      </c>
      <c r="F22">
        <v>0.78169012069702148</v>
      </c>
    </row>
    <row r="23" spans="1:6" x14ac:dyDescent="0.25">
      <c r="A23" t="s">
        <v>160</v>
      </c>
      <c r="B23" t="s">
        <v>193</v>
      </c>
      <c r="C23" s="9" t="s">
        <v>114</v>
      </c>
      <c r="D23">
        <v>15</v>
      </c>
      <c r="E23" s="9" t="s">
        <v>111</v>
      </c>
      <c r="F23">
        <v>0.22702702879905701</v>
      </c>
    </row>
    <row r="24" spans="1:6" x14ac:dyDescent="0.25">
      <c r="A24" t="s">
        <v>155</v>
      </c>
      <c r="B24" t="s">
        <v>194</v>
      </c>
      <c r="C24" s="9" t="s">
        <v>96</v>
      </c>
      <c r="D24">
        <v>8</v>
      </c>
      <c r="E24" s="9" t="s">
        <v>111</v>
      </c>
      <c r="F24">
        <v>0.26973685622215271</v>
      </c>
    </row>
    <row r="25" spans="1:6" x14ac:dyDescent="0.25">
      <c r="A25" t="s">
        <v>141</v>
      </c>
      <c r="B25" t="s">
        <v>195</v>
      </c>
      <c r="C25" s="9" t="s">
        <v>114</v>
      </c>
      <c r="D25">
        <v>10</v>
      </c>
      <c r="E25" s="9" t="s">
        <v>114</v>
      </c>
      <c r="F25">
        <v>0.5494505763053894</v>
      </c>
    </row>
    <row r="26" spans="1:6" x14ac:dyDescent="0.25">
      <c r="A26" t="s">
        <v>140</v>
      </c>
      <c r="B26" t="s">
        <v>196</v>
      </c>
      <c r="C26" s="9" t="s">
        <v>114</v>
      </c>
      <c r="D26">
        <v>13</v>
      </c>
      <c r="E26" s="9" t="s">
        <v>114</v>
      </c>
      <c r="F26">
        <v>0.28666666150093079</v>
      </c>
    </row>
    <row r="27" spans="1:6" x14ac:dyDescent="0.25">
      <c r="A27" t="s">
        <v>165</v>
      </c>
      <c r="B27" t="s">
        <v>172</v>
      </c>
      <c r="C27" s="9" t="s">
        <v>163</v>
      </c>
      <c r="D27">
        <v>5</v>
      </c>
      <c r="E27" s="9" t="s">
        <v>31</v>
      </c>
      <c r="F27">
        <v>0.234375</v>
      </c>
    </row>
    <row r="28" spans="1:6" x14ac:dyDescent="0.25">
      <c r="A28" t="s">
        <v>152</v>
      </c>
      <c r="B28" t="s">
        <v>197</v>
      </c>
      <c r="C28" s="9" t="s">
        <v>146</v>
      </c>
      <c r="D28">
        <v>11</v>
      </c>
      <c r="E28" s="9" t="s">
        <v>146</v>
      </c>
      <c r="F28">
        <v>0.17777778208255768</v>
      </c>
    </row>
    <row r="29" spans="1:6" x14ac:dyDescent="0.25">
      <c r="A29" t="s">
        <v>126</v>
      </c>
      <c r="B29" t="s">
        <v>198</v>
      </c>
      <c r="C29" s="9" t="s">
        <v>41</v>
      </c>
      <c r="D29">
        <v>7</v>
      </c>
      <c r="E29" s="9" t="s">
        <v>41</v>
      </c>
      <c r="F29">
        <v>0.40707963705062866</v>
      </c>
    </row>
    <row r="30" spans="1:6" x14ac:dyDescent="0.25">
      <c r="A30" t="s">
        <v>145</v>
      </c>
      <c r="B30" t="s">
        <v>199</v>
      </c>
      <c r="C30" s="9" t="s">
        <v>146</v>
      </c>
      <c r="D30">
        <v>14</v>
      </c>
      <c r="E30" s="9" t="s">
        <v>112</v>
      </c>
      <c r="F30">
        <v>0.10000000149011612</v>
      </c>
    </row>
    <row r="31" spans="1:6" x14ac:dyDescent="0.25">
      <c r="A31" t="s">
        <v>67</v>
      </c>
    </row>
    <row r="32" spans="1:6" x14ac:dyDescent="0.25">
      <c r="A32" t="s">
        <v>75</v>
      </c>
    </row>
    <row r="33" spans="1:1" x14ac:dyDescent="0.25">
      <c r="A33" t="s">
        <v>49</v>
      </c>
    </row>
    <row r="34" spans="1:1" x14ac:dyDescent="0.25">
      <c r="A34" t="s">
        <v>38</v>
      </c>
    </row>
    <row r="35" spans="1:1" x14ac:dyDescent="0.25">
      <c r="A35" t="s">
        <v>38</v>
      </c>
    </row>
    <row r="36" spans="1:1" x14ac:dyDescent="0.25">
      <c r="A36" t="s">
        <v>72</v>
      </c>
    </row>
    <row r="37" spans="1:1" x14ac:dyDescent="0.25">
      <c r="A37" t="s">
        <v>35</v>
      </c>
    </row>
    <row r="38" spans="1:1" x14ac:dyDescent="0.25">
      <c r="A38" t="s">
        <v>123</v>
      </c>
    </row>
    <row r="39" spans="1:1" x14ac:dyDescent="0.25">
      <c r="A39" t="s">
        <v>77</v>
      </c>
    </row>
    <row r="40" spans="1:1" x14ac:dyDescent="0.25">
      <c r="A40" t="s">
        <v>124</v>
      </c>
    </row>
    <row r="41" spans="1:1" x14ac:dyDescent="0.25">
      <c r="A41" t="s">
        <v>117</v>
      </c>
    </row>
    <row r="42" spans="1:1" x14ac:dyDescent="0.25">
      <c r="A42" t="s">
        <v>54</v>
      </c>
    </row>
    <row r="43" spans="1:1" x14ac:dyDescent="0.25">
      <c r="A43" t="s">
        <v>68</v>
      </c>
    </row>
    <row r="44" spans="1:1" x14ac:dyDescent="0.25">
      <c r="A44" t="s">
        <v>93</v>
      </c>
    </row>
    <row r="45" spans="1:1" x14ac:dyDescent="0.25">
      <c r="A45" t="s">
        <v>136</v>
      </c>
    </row>
    <row r="46" spans="1:1" x14ac:dyDescent="0.25">
      <c r="A46" t="s">
        <v>63</v>
      </c>
    </row>
    <row r="47" spans="1:1" x14ac:dyDescent="0.25">
      <c r="A47" t="s">
        <v>107</v>
      </c>
    </row>
    <row r="48" spans="1:1" x14ac:dyDescent="0.25">
      <c r="A48" t="s">
        <v>45</v>
      </c>
    </row>
    <row r="49" spans="1:1" x14ac:dyDescent="0.25">
      <c r="A49" t="s">
        <v>132</v>
      </c>
    </row>
    <row r="50" spans="1:1" x14ac:dyDescent="0.25">
      <c r="A50" t="s">
        <v>92</v>
      </c>
    </row>
    <row r="51" spans="1:1" x14ac:dyDescent="0.25">
      <c r="A51" t="s">
        <v>119</v>
      </c>
    </row>
    <row r="52" spans="1:1" x14ac:dyDescent="0.25">
      <c r="A52" t="s">
        <v>76</v>
      </c>
    </row>
    <row r="53" spans="1:1" x14ac:dyDescent="0.25">
      <c r="A53" t="s">
        <v>85</v>
      </c>
    </row>
    <row r="54" spans="1:1" x14ac:dyDescent="0.25">
      <c r="A54" t="s">
        <v>41</v>
      </c>
    </row>
    <row r="55" spans="1:1" x14ac:dyDescent="0.25">
      <c r="A55" t="s">
        <v>94</v>
      </c>
    </row>
    <row r="56" spans="1:1" x14ac:dyDescent="0.25">
      <c r="A56" t="s">
        <v>31</v>
      </c>
    </row>
    <row r="57" spans="1:1" x14ac:dyDescent="0.25">
      <c r="A57" t="s">
        <v>30</v>
      </c>
    </row>
    <row r="58" spans="1:1" x14ac:dyDescent="0.25">
      <c r="A58" t="s">
        <v>65</v>
      </c>
    </row>
    <row r="59" spans="1:1" x14ac:dyDescent="0.25">
      <c r="A59" t="s">
        <v>34</v>
      </c>
    </row>
    <row r="60" spans="1:1" x14ac:dyDescent="0.25">
      <c r="A60" t="s">
        <v>66</v>
      </c>
    </row>
    <row r="61" spans="1:1" x14ac:dyDescent="0.25">
      <c r="A61" t="s">
        <v>108</v>
      </c>
    </row>
    <row r="62" spans="1:1" x14ac:dyDescent="0.25">
      <c r="A62" t="s">
        <v>98</v>
      </c>
    </row>
    <row r="63" spans="1:1" x14ac:dyDescent="0.25">
      <c r="A63" t="s">
        <v>87</v>
      </c>
    </row>
    <row r="64" spans="1:1" x14ac:dyDescent="0.25">
      <c r="A64" t="s">
        <v>134</v>
      </c>
    </row>
    <row r="65" spans="1:1" x14ac:dyDescent="0.25">
      <c r="A65" t="s">
        <v>42</v>
      </c>
    </row>
    <row r="66" spans="1:1" x14ac:dyDescent="0.25">
      <c r="A66" t="s">
        <v>48</v>
      </c>
    </row>
    <row r="67" spans="1:1" x14ac:dyDescent="0.25">
      <c r="A67" t="s">
        <v>105</v>
      </c>
    </row>
    <row r="68" spans="1:1" x14ac:dyDescent="0.25">
      <c r="A68" t="s">
        <v>90</v>
      </c>
    </row>
    <row r="69" spans="1:1" x14ac:dyDescent="0.25">
      <c r="A69" t="s">
        <v>111</v>
      </c>
    </row>
    <row r="70" spans="1:1" x14ac:dyDescent="0.25">
      <c r="A70" t="s">
        <v>114</v>
      </c>
    </row>
    <row r="71" spans="1:1" x14ac:dyDescent="0.25">
      <c r="A71" t="s">
        <v>46</v>
      </c>
    </row>
    <row r="72" spans="1:1" x14ac:dyDescent="0.25">
      <c r="A72" t="s">
        <v>46</v>
      </c>
    </row>
    <row r="73" spans="1:1" x14ac:dyDescent="0.25">
      <c r="A73" t="s">
        <v>120</v>
      </c>
    </row>
    <row r="74" spans="1:1" x14ac:dyDescent="0.25">
      <c r="A74" t="s">
        <v>137</v>
      </c>
    </row>
    <row r="75" spans="1:1" x14ac:dyDescent="0.25">
      <c r="A75" t="s">
        <v>101</v>
      </c>
    </row>
    <row r="76" spans="1:1" x14ac:dyDescent="0.25">
      <c r="A76" t="s">
        <v>88</v>
      </c>
    </row>
    <row r="77" spans="1:1" x14ac:dyDescent="0.25">
      <c r="A77" t="s">
        <v>86</v>
      </c>
    </row>
    <row r="78" spans="1:1" x14ac:dyDescent="0.25">
      <c r="A78" t="s">
        <v>52</v>
      </c>
    </row>
    <row r="79" spans="1:1" x14ac:dyDescent="0.25">
      <c r="A79" t="s">
        <v>103</v>
      </c>
    </row>
    <row r="80" spans="1:1" x14ac:dyDescent="0.25">
      <c r="A80" t="s">
        <v>96</v>
      </c>
    </row>
    <row r="81" spans="1:1" x14ac:dyDescent="0.25">
      <c r="A81" t="s">
        <v>43</v>
      </c>
    </row>
    <row r="82" spans="1:1" x14ac:dyDescent="0.25">
      <c r="A82" t="s">
        <v>83</v>
      </c>
    </row>
    <row r="83" spans="1:1" x14ac:dyDescent="0.25">
      <c r="A83" t="s">
        <v>110</v>
      </c>
    </row>
    <row r="84" spans="1:1" x14ac:dyDescent="0.25">
      <c r="A84" t="s">
        <v>127</v>
      </c>
    </row>
    <row r="85" spans="1:1" x14ac:dyDescent="0.25">
      <c r="A85" t="s">
        <v>57</v>
      </c>
    </row>
    <row r="86" spans="1:1" x14ac:dyDescent="0.25">
      <c r="A86" t="s">
        <v>70</v>
      </c>
    </row>
    <row r="87" spans="1:1" x14ac:dyDescent="0.25">
      <c r="A87" t="s">
        <v>109</v>
      </c>
    </row>
    <row r="88" spans="1:1" x14ac:dyDescent="0.25">
      <c r="A88" t="s">
        <v>112</v>
      </c>
    </row>
    <row r="89" spans="1:1" x14ac:dyDescent="0.25">
      <c r="A89" t="s">
        <v>116</v>
      </c>
    </row>
    <row r="90" spans="1:1" x14ac:dyDescent="0.25">
      <c r="A90" t="s">
        <v>99</v>
      </c>
    </row>
    <row r="91" spans="1:1" x14ac:dyDescent="0.25">
      <c r="A91" t="s">
        <v>50</v>
      </c>
    </row>
    <row r="92" spans="1:1" x14ac:dyDescent="0.25">
      <c r="A92" t="s">
        <v>79</v>
      </c>
    </row>
    <row r="93" spans="1:1" x14ac:dyDescent="0.25">
      <c r="A93" t="s">
        <v>56</v>
      </c>
    </row>
    <row r="94" spans="1:1" x14ac:dyDescent="0.25">
      <c r="A94" t="s">
        <v>61</v>
      </c>
    </row>
    <row r="95" spans="1:1" x14ac:dyDescent="0.25">
      <c r="A95" t="s">
        <v>91</v>
      </c>
    </row>
    <row r="96" spans="1:1" x14ac:dyDescent="0.25">
      <c r="A96" t="s">
        <v>126</v>
      </c>
    </row>
    <row r="97" spans="1:1" x14ac:dyDescent="0.25">
      <c r="A97" t="s">
        <v>125</v>
      </c>
    </row>
    <row r="98" spans="1:1" x14ac:dyDescent="0.25">
      <c r="A98" t="s">
        <v>32</v>
      </c>
    </row>
  </sheetData>
  <dataConsolidate/>
  <conditionalFormatting sqref="E2:E30">
    <cfRule type="colorScale" priority="8">
      <colorScale>
        <cfvo type="min"/>
        <cfvo type="max"/>
        <color rgb="FFFF7128"/>
        <color rgb="FFFFEF9C"/>
      </colorScale>
    </cfRule>
    <cfRule type="colorScale" priority="9">
      <colorScale>
        <cfvo type="min"/>
        <cfvo type="max"/>
        <color rgb="FFFF0000"/>
        <color rgb="FF0000FF"/>
      </colorScale>
    </cfRule>
  </conditionalFormatting>
  <conditionalFormatting sqref="E2:F30">
    <cfRule type="colorScale" priority="6">
      <colorScale>
        <cfvo type="min"/>
        <cfvo type="max"/>
        <color rgb="FFFFEF9C"/>
        <color rgb="FF63BE7B"/>
      </colorScale>
    </cfRule>
  </conditionalFormatting>
  <conditionalFormatting sqref="D1:D1048576">
    <cfRule type="colorScale" priority="1">
      <colorScale>
        <cfvo type="min"/>
        <cfvo type="max"/>
        <color rgb="FF63BE7B"/>
        <color rgb="FFFFEF9C"/>
      </colorScale>
    </cfRule>
    <cfRule type="colorScale" priority="4">
      <colorScale>
        <cfvo type="min"/>
        <cfvo type="percentile" val="50"/>
        <cfvo type="max"/>
        <color rgb="FFF8696B"/>
        <color rgb="FFFFEB84"/>
        <color rgb="FF63BE7B"/>
      </colorScale>
    </cfRule>
  </conditionalFormatting>
  <conditionalFormatting sqref="F1:F1048576">
    <cfRule type="colorScale" priority="2">
      <colorScale>
        <cfvo type="min"/>
        <cfvo type="max"/>
        <color rgb="FFFFEF9C"/>
        <color rgb="FF63BE7B"/>
      </colorScale>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6145" r:id="rId4" name="CommandButton1">
          <controlPr defaultSize="0" autoLine="0" r:id="rId5">
            <anchor moveWithCells="1">
              <from>
                <xdr:col>8</xdr:col>
                <xdr:colOff>561975</xdr:colOff>
                <xdr:row>0</xdr:row>
                <xdr:rowOff>38100</xdr:rowOff>
              </from>
              <to>
                <xdr:col>10</xdr:col>
                <xdr:colOff>581025</xdr:colOff>
                <xdr:row>1</xdr:row>
                <xdr:rowOff>161925</xdr:rowOff>
              </to>
            </anchor>
          </controlPr>
        </control>
      </mc:Choice>
      <mc:Fallback>
        <control shapeId="6145" r:id="rId4" name="CommandButton1"/>
      </mc:Fallback>
    </mc:AlternateContent>
    <mc:AlternateContent xmlns:mc="http://schemas.openxmlformats.org/markup-compatibility/2006">
      <mc:Choice Requires="x14">
        <control shapeId="6146" r:id="rId6" name="CommandButton2">
          <controlPr defaultSize="0" autoLine="0" r:id="rId7">
            <anchor moveWithCells="1">
              <from>
                <xdr:col>11</xdr:col>
                <xdr:colOff>9525</xdr:colOff>
                <xdr:row>0</xdr:row>
                <xdr:rowOff>38100</xdr:rowOff>
              </from>
              <to>
                <xdr:col>13</xdr:col>
                <xdr:colOff>28575</xdr:colOff>
                <xdr:row>1</xdr:row>
                <xdr:rowOff>161925</xdr:rowOff>
              </to>
            </anchor>
          </controlPr>
        </control>
      </mc:Choice>
      <mc:Fallback>
        <control shapeId="6146" r:id="rId6" name="CommandButton2"/>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HOW TO</vt:lpstr>
      <vt:lpstr>INSTANCE</vt:lpstr>
      <vt:lpstr>TYPE</vt:lpstr>
      <vt:lpstr>INPUT</vt:lpstr>
      <vt:lpstr>TEMPERATURE FORMULA</vt:lpstr>
      <vt:lpstr>MATCH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Chung</dc:creator>
  <cp:lastModifiedBy>Richard Chung</cp:lastModifiedBy>
  <dcterms:created xsi:type="dcterms:W3CDTF">2021-07-22T17:51:45Z</dcterms:created>
  <dcterms:modified xsi:type="dcterms:W3CDTF">2021-09-21T18:28:39Z</dcterms:modified>
</cp:coreProperties>
</file>