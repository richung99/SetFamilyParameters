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RIchardC\Documents\Personal Projects\Dynamo Scripts\SetFamilyParameters\OLD\"/>
    </mc:Choice>
  </mc:AlternateContent>
  <xr:revisionPtr revIDLastSave="0" documentId="8_{15A0639A-DED5-40D4-A70C-D5B303B7D6B7}" xr6:coauthVersionLast="47" xr6:coauthVersionMax="47" xr10:uidLastSave="{00000000-0000-0000-0000-000000000000}"/>
  <bookViews>
    <workbookView xWindow="-120" yWindow="-120" windowWidth="38640" windowHeight="15840" activeTab="1" xr2:uid="{6C3D12CF-D6EA-4670-9D98-08B849B71BE0}"/>
  </bookViews>
  <sheets>
    <sheet name="HOW TO" sheetId="6" r:id="rId1"/>
    <sheet name="INSTANCE" sheetId="1" r:id="rId2"/>
    <sheet name="TYPE" sheetId="4" r:id="rId3"/>
    <sheet name="INPUT" sheetId="3" r:id="rId4"/>
    <sheet name="TEMPERATURE FORMULA" sheetId="5" r:id="rId5"/>
  </sheets>
  <definedNames>
    <definedName name="_xlnm._FilterDatabase" localSheetId="1" hidden="1">INSTANCE!$A$1:$C$84</definedName>
    <definedName name="_xlnm._FilterDatabase" localSheetId="2" hidden="1">TYPE!$A$1:$C$114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8" i="3" l="1"/>
  <c r="A2" i="3" s="1" a="1"/>
  <c r="A2" i="3" s="1"/>
  <c r="A1" i="3" a="1"/>
  <c r="A1" i="3" s="1"/>
  <c r="E4" i="3"/>
  <c r="E5" i="3"/>
  <c r="E6" i="3"/>
  <c r="E7" i="3"/>
  <c r="E8" i="3"/>
  <c r="E9" i="3"/>
  <c r="E10" i="3"/>
  <c r="E11" i="3"/>
  <c r="E12" i="3"/>
  <c r="E13" i="3"/>
  <c r="E14" i="3"/>
  <c r="E15" i="3"/>
  <c r="E16" i="3"/>
  <c r="E17" i="3"/>
  <c r="E3" i="3"/>
  <c r="D18" i="3"/>
  <c r="D4" i="3"/>
  <c r="D5" i="3"/>
  <c r="D6" i="3"/>
  <c r="D7" i="3"/>
  <c r="D8" i="3"/>
  <c r="D9" i="3"/>
  <c r="D10" i="3"/>
  <c r="D11" i="3"/>
  <c r="D12" i="3"/>
  <c r="D13" i="3"/>
  <c r="D14" i="3"/>
  <c r="D15" i="3"/>
  <c r="D16" i="3"/>
  <c r="D17" i="3"/>
  <c r="D3"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<sst xmlns="http://schemas.openxmlformats.org/spreadsheetml/2006/main" count="275" uniqueCount="216">
  <si>
    <t>Design ER Winter Exhaust Entering Air DB Temperature</t>
  </si>
  <si>
    <t>Design ER Summer Supply Leaving Air WB Temperature</t>
  </si>
  <si>
    <t>Design ER Winter Supply Leaving Air DB Temperature</t>
  </si>
  <si>
    <t>Design ER Summer Supply Leaving Air DB Temperature</t>
  </si>
  <si>
    <t>Design ER Winter Supply Entering Air DB Temperature</t>
  </si>
  <si>
    <t>Design ER Winter Supply Entering Air WB Temperature</t>
  </si>
  <si>
    <t>Design ER Summer Supply Entering Air DB Temperature</t>
  </si>
  <si>
    <t>Design ER Winter Exhaust Leaving Air DB Temperature</t>
  </si>
  <si>
    <t>Design ER Summer Exhaust Leaving Air WB Temperature</t>
  </si>
  <si>
    <t>Design ER Winter Exhaust Entering Air WB Temperature</t>
  </si>
  <si>
    <t>Design ER Winter Supply Leaving Air WB Temperature</t>
  </si>
  <si>
    <t>Design ER Summer Supply Entering Air WB Temperature</t>
  </si>
  <si>
    <t>Design ER Summer Exhaust Entering Air WB Temperature</t>
  </si>
  <si>
    <t>Design ER Winter Exhaust Leaving Air WB Temperature</t>
  </si>
  <si>
    <t>Design ER Summer Exhaust Entering Air DB Temperature</t>
  </si>
  <si>
    <t>Design ER Summer Exhaust Leaving Air DB Temperature</t>
  </si>
  <si>
    <t>PARAM</t>
  </si>
  <si>
    <t>DATE</t>
  </si>
  <si>
    <t>VAL</t>
  </si>
  <si>
    <r>
      <rPr>
        <b/>
        <sz val="14"/>
        <color theme="0"/>
        <rFont val="Calibri"/>
        <family val="2"/>
        <scheme val="minor"/>
      </rPr>
      <t>Sheet Details</t>
    </r>
    <r>
      <rPr>
        <sz val="11"/>
        <color theme="0"/>
        <rFont val="Calibri"/>
        <family val="2"/>
        <scheme val="minor"/>
      </rPr>
      <t xml:space="preserve"> 
This spreadsheet is intended to work in conjunction with two Dynamo scripts (setFamilyParam18.dyn and setFamilyParam18-2.dyn) to mass edit Revit family parameters from Excel.</t>
    </r>
  </si>
  <si>
    <t>INSTANCE</t>
  </si>
  <si>
    <t>TYPE</t>
  </si>
  <si>
    <t>INPUT</t>
  </si>
  <si>
    <t>Populated from setFamilyParam18.dyn. Column A contains type based family parameter names, Column B contains parameter values. Changes made inside of Column B automatically populate the row's Column C cell with the current date to keep track of revision history. Each column contains headers that can be used for sorting or filtering.</t>
  </si>
  <si>
    <t>TEMPERATURE FORMULA</t>
  </si>
  <si>
    <t>Intended for use with setFamilyParam18-2.dyn. Rows 1 and 2 contain input strings for the Code Block inside of Dynamo. These input strings are created from Columns A and B, which should be copied from the INSTANCE and TYPE sheets by the user.</t>
  </si>
  <si>
    <t>Dynamo/Revit uses a convoluted formula in order to obtain temperature from the input value. It is a linear equation based off of an absolute temperature scale.</t>
  </si>
  <si>
    <t>Populated from setFamilyParam18.dyn. Column A contains instance based family parameter names, Column B contains parameter values. Changes made inside of Column B automatically populate the row's Column C cell with the current date to keep track of revision history. Each column contains headers that can be used for sorting or filtering.</t>
  </si>
  <si>
    <t>Model</t>
  </si>
  <si>
    <t>Phase</t>
  </si>
  <si>
    <t>Overall Length</t>
  </si>
  <si>
    <t>External Static Pressure</t>
  </si>
  <si>
    <t>0.25 in-wg</t>
  </si>
  <si>
    <t>Design Maximum Weight</t>
  </si>
  <si>
    <t>Heating Leaving Dry Bulb Temperature</t>
  </si>
  <si>
    <t>Design Heating Entering Air DB Temperature</t>
  </si>
  <si>
    <t>70 °F</t>
  </si>
  <si>
    <t>Minimum Circuit Current</t>
  </si>
  <si>
    <t>Design Heating Leaving Water Temperature</t>
  </si>
  <si>
    <t>110 °F</t>
  </si>
  <si>
    <t>Heating Entering Dry Bulb Temperature</t>
  </si>
  <si>
    <t>Design Cooling Entering Air DB Temperature</t>
  </si>
  <si>
    <t>75 °F</t>
  </si>
  <si>
    <t>Assembly Description</t>
  </si>
  <si>
    <t>Overall Width</t>
  </si>
  <si>
    <t>2' - 1"</t>
  </si>
  <si>
    <t>Design Cooling Entering Air WB Temperature</t>
  </si>
  <si>
    <t>63 °F</t>
  </si>
  <si>
    <t>Classification</t>
  </si>
  <si>
    <t>None</t>
  </si>
  <si>
    <t>Design Supply Air Flow</t>
  </si>
  <si>
    <t>Design Option</t>
  </si>
  <si>
    <t>Specification - Master Spec Number</t>
  </si>
  <si>
    <t>23 82 19</t>
  </si>
  <si>
    <t>Manufacturer Model Number</t>
  </si>
  <si>
    <t>Product URL</t>
  </si>
  <si>
    <t>http://www.trane.com/COMMERCIAL/DNA/View.aspx?i=1084</t>
  </si>
  <si>
    <t>Heating Leaving Fluid Temperature</t>
  </si>
  <si>
    <t>Design Heating Total Capacity</t>
  </si>
  <si>
    <t>Description</t>
  </si>
  <si>
    <t>Category</t>
  </si>
  <si>
    <t>Mechanical Equipment</t>
  </si>
  <si>
    <t>Overall Height</t>
  </si>
  <si>
    <t>0' - 10"</t>
  </si>
  <si>
    <t>Cooling Entering Fluid Temperature</t>
  </si>
  <si>
    <t>42 °F</t>
  </si>
  <si>
    <t>Voltage</t>
  </si>
  <si>
    <t>208 V</t>
  </si>
  <si>
    <t>Designation</t>
  </si>
  <si>
    <t>FC</t>
  </si>
  <si>
    <t>Cooling Leaving Fluid Temperature</t>
  </si>
  <si>
    <t>52 °F</t>
  </si>
  <si>
    <t>Cooling Fluid Pressure Drop</t>
  </si>
  <si>
    <t>FLA Motor Option</t>
  </si>
  <si>
    <t>Standard FLA ECM</t>
  </si>
  <si>
    <t>Family Name</t>
  </si>
  <si>
    <t>Sensible Cooling Capacity</t>
  </si>
  <si>
    <t>Code Name</t>
  </si>
  <si>
    <t>Type Image</t>
  </si>
  <si>
    <t>&lt;None&gt;</t>
  </si>
  <si>
    <t>Design Cooling Leaving Water Temperature</t>
  </si>
  <si>
    <t>Design Maximum Supply Airflow</t>
  </si>
  <si>
    <t>Heating Fluid Flow Rate</t>
  </si>
  <si>
    <t>Design Cooling Leaving Air DB Temperature</t>
  </si>
  <si>
    <t>53 °F</t>
  </si>
  <si>
    <t>Motor Type</t>
  </si>
  <si>
    <t>High static ECM</t>
  </si>
  <si>
    <t>Motor HP</t>
  </si>
  <si>
    <t>0 Btu/h</t>
  </si>
  <si>
    <t>2rw_Abbrv</t>
  </si>
  <si>
    <t>FCU</t>
  </si>
  <si>
    <t>Specification - Spec Link Number</t>
  </si>
  <si>
    <t>Total Heating Capacity</t>
  </si>
  <si>
    <t>Cooling Leaving Wet Bulb Temperature</t>
  </si>
  <si>
    <t>Heating Fluid Pressure Drop</t>
  </si>
  <si>
    <t>2rw_Type</t>
  </si>
  <si>
    <t>Design Cooling Water Pressure Drop</t>
  </si>
  <si>
    <t>Design Heating Water Pressure Drop</t>
  </si>
  <si>
    <t>Cost</t>
  </si>
  <si>
    <t>Manufacturer Series Number</t>
  </si>
  <si>
    <t>FCC</t>
  </si>
  <si>
    <t>URL</t>
  </si>
  <si>
    <t>Type Name</t>
  </si>
  <si>
    <t>OmniClass Title</t>
  </si>
  <si>
    <t>Climate Control (HVAC)</t>
  </si>
  <si>
    <t>Operating Weight</t>
  </si>
  <si>
    <t>Cooling Entering Dry Bulb Temperature</t>
  </si>
  <si>
    <t>Maximum Overcurrent Protection</t>
  </si>
  <si>
    <t>15 A</t>
  </si>
  <si>
    <t>Total Cooling Capacity</t>
  </si>
  <si>
    <t>Design Cooling Water Flow</t>
  </si>
  <si>
    <t>Design Minimum Circuit Amps (MCA)</t>
  </si>
  <si>
    <t>Keynote</t>
  </si>
  <si>
    <t>Design Supply External Static Pressure</t>
  </si>
  <si>
    <t>Literature URL</t>
  </si>
  <si>
    <t>http://www.trane.com/Commercial/LiteratureSearchList.aspx?model=FCC</t>
  </si>
  <si>
    <t>Design Cooling Sensible Capacity</t>
  </si>
  <si>
    <t>Design Cooling Leaving Air WB Temperature</t>
  </si>
  <si>
    <t>Design Maximum Overcurrent Protection (MOCP)</t>
  </si>
  <si>
    <t>Design Supply Fan Horsepower</t>
  </si>
  <si>
    <t>Design Heating Leaving Air DB Temperature</t>
  </si>
  <si>
    <t>Design Heating Entering Water Temperature</t>
  </si>
  <si>
    <t>140 °F</t>
  </si>
  <si>
    <t>Design Heating Water Flow</t>
  </si>
  <si>
    <t>1 GPM</t>
  </si>
  <si>
    <t>Frequency</t>
  </si>
  <si>
    <t>60 Hz</t>
  </si>
  <si>
    <t>TAG</t>
  </si>
  <si>
    <t>Type Mark</t>
  </si>
  <si>
    <t>OmniClass Number</t>
  </si>
  <si>
    <t>23.75.00.00</t>
  </si>
  <si>
    <t>Design Cooling Total Capacity</t>
  </si>
  <si>
    <t>Heating Entering Fluid Temperature</t>
  </si>
  <si>
    <t>Design Cooling Entering Water Temperature</t>
  </si>
  <si>
    <t>Cooling Entering Wet Bulb Temperature</t>
  </si>
  <si>
    <t>Cooling Leaving Dry Bulb Temperature</t>
  </si>
  <si>
    <t>Shipping Weight</t>
  </si>
  <si>
    <t>Motor Power</t>
  </si>
  <si>
    <t>Design Cooling Airflow</t>
  </si>
  <si>
    <t>Type Comments</t>
  </si>
  <si>
    <t>Manufacturer</t>
  </si>
  <si>
    <t>TRANE</t>
  </si>
  <si>
    <t>Assembly Code</t>
  </si>
  <si>
    <t>Cooling Fluid Flow Rate</t>
  </si>
  <si>
    <t>Motor RPM</t>
  </si>
  <si>
    <t>Area</t>
  </si>
  <si>
    <t>Level</t>
  </si>
  <si>
    <t>Level 1</t>
  </si>
  <si>
    <t>Type Id</t>
  </si>
  <si>
    <t>Host</t>
  </si>
  <si>
    <t>Connection Cooling Inlet Pipe Diameter</t>
  </si>
  <si>
    <t>0"</t>
  </si>
  <si>
    <t>Service</t>
  </si>
  <si>
    <t/>
  </si>
  <si>
    <t>Family and Type</t>
  </si>
  <si>
    <t>Host Id</t>
  </si>
  <si>
    <t>-1</t>
  </si>
  <si>
    <t>Specification - UFGS Number</t>
  </si>
  <si>
    <t>Mounting Type</t>
  </si>
  <si>
    <t>Equipment Type</t>
  </si>
  <si>
    <t>2rw_Instance</t>
  </si>
  <si>
    <t>Configuration</t>
  </si>
  <si>
    <t>Panel</t>
  </si>
  <si>
    <t>Mark</t>
  </si>
  <si>
    <t>Phase Demolished</t>
  </si>
  <si>
    <t>Equipment Location</t>
  </si>
  <si>
    <t>Volume</t>
  </si>
  <si>
    <t>Family</t>
  </si>
  <si>
    <t>Offset</t>
  </si>
  <si>
    <t>0' - 0"</t>
  </si>
  <si>
    <t>Notes</t>
  </si>
  <si>
    <t>System Classification</t>
  </si>
  <si>
    <t>Circuit Number</t>
  </si>
  <si>
    <t>System Name</t>
  </si>
  <si>
    <t>Comments</t>
  </si>
  <si>
    <t>Phase Created</t>
  </si>
  <si>
    <t>New Construction</t>
  </si>
  <si>
    <t>Design Heating Airflow</t>
  </si>
  <si>
    <t>0 CFM</t>
  </si>
  <si>
    <t>Connection Heating Inlet Pipe Diameter</t>
  </si>
  <si>
    <t>Image</t>
  </si>
  <si>
    <t>Type</t>
  </si>
  <si>
    <t>Design Minimum Supply Airflow</t>
  </si>
  <si>
    <t>Supply Air,Return Air,Hydronic Supply,Hydronic Return,Hydronic Supply,Hydronic Return,Sanitary,Power</t>
  </si>
  <si>
    <t>10.99 in-wg</t>
  </si>
  <si>
    <t>6' - 3"</t>
  </si>
  <si>
    <t>21.4 Btu/h</t>
  </si>
  <si>
    <t>200.00 lbm</t>
  </si>
  <si>
    <t>Motor2 HP</t>
  </si>
  <si>
    <t>182.00 lbm</t>
  </si>
  <si>
    <t>21 Btu/h</t>
  </si>
  <si>
    <t>FCCB1202</t>
  </si>
  <si>
    <t>850 CFM</t>
  </si>
  <si>
    <t>24 Btu/h</t>
  </si>
  <si>
    <t>FCC12</t>
  </si>
  <si>
    <t>200.00 lbf</t>
  </si>
  <si>
    <t>93 °F</t>
  </si>
  <si>
    <t>Motor2 RPM</t>
  </si>
  <si>
    <t>1 Btu/h</t>
  </si>
  <si>
    <t>6.64 in-wg</t>
  </si>
  <si>
    <t>4.76 psi</t>
  </si>
  <si>
    <t>FCCB120</t>
  </si>
  <si>
    <t>5 GPM</t>
  </si>
  <si>
    <t>54 °F</t>
  </si>
  <si>
    <t>2.87 psi</t>
  </si>
  <si>
    <t>24.1 Btu/h</t>
  </si>
  <si>
    <t>M-FCU Horizontal Concealed_Trane FCCB120</t>
  </si>
  <si>
    <t>20 Btu/h</t>
  </si>
  <si>
    <t>187 Btu/h</t>
  </si>
  <si>
    <t>261 W</t>
  </si>
  <si>
    <t>19.8 Btu/h</t>
  </si>
  <si>
    <t>85 SF</t>
  </si>
  <si>
    <t>11</t>
  </si>
  <si>
    <t>46.73 CF</t>
  </si>
  <si>
    <t>980760</t>
  </si>
  <si>
    <t>M-FCU Horizontal Concealed_Trane FCCB120: FCC12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</si>
</sst>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4"/>
      <color theme="0"/>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1" tint="0.14999847407452621"/>
        <bgColor indexed="64"/>
      </patternFill>
    </fill>
    <fill>
      <patternFill patternType="solid">
        <fgColor theme="1" tint="0.34998626667073579"/>
        <bgColor indexed="64"/>
      </patternFill>
    </fill>
  </fills>
  <borders count="3">
    <border>
      <left/>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11">
    <xf numFmtId="0" fontId="0" fillId="0" borderId="0" xfId="0"/>
    <xf numFmtId="18" fontId="0" fillId="0" borderId="0" xfId="0" applyNumberFormat="1"/>
    <xf numFmtId="49" fontId="0" fillId="0" borderId="0" xfId="0" applyNumberFormat="1"/>
    <xf numFmtId="49" fontId="0" fillId="0" borderId="0" xfId="0" applyNumberFormat="1" applyAlignment="1">
      <alignment wrapText="1"/>
    </xf>
    <xf numFmtId="14" fontId="0" fillId="0" borderId="0" xfId="0" applyNumberFormat="1"/>
    <xf numFmtId="0" fontId="1" fillId="4" borderId="2" xfId="0" applyFont="1" applyFill="1" applyBorder="1" applyAlignment="1">
      <alignment horizontal="left" vertical="center" wrapText="1" indent="1"/>
    </xf>
    <xf numFmtId="0" fontId="1" fillId="2" borderId="2" xfId="0" applyFont="1" applyFill="1" applyBorder="1" applyAlignment="1">
      <alignment horizontal="left" vertical="center" wrapText="1" indent="1"/>
    </xf>
    <xf numFmtId="0" fontId="1" fillId="4" borderId="1" xfId="0" applyFont="1" applyFill="1" applyBorder="1" applyAlignment="1">
      <alignment horizontal="left" vertical="center" wrapText="1" indent="1"/>
    </xf>
    <xf numFmtId="0" fontId="1" fillId="2" borderId="1" xfId="0" applyFont="1" applyFill="1" applyBorder="1" applyAlignment="1">
      <alignment horizontal="left" vertical="center" wrapText="1" indent="1"/>
    </xf>
    <xf numFmtId="0" fontId="1" fillId="3" borderId="1" xfId="0" applyFont="1" applyFill="1" applyBorder="1" applyAlignment="1">
      <alignment horizontal="left" wrapText="1"/>
    </xf>
    <xf numFmtId="0" fontId="1" fillId="3" borderId="2" xfId="0" applyFont="1" applyFill="1" applyBorder="1" applyAlignment="1">
      <alignment horizontal="lef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4.5829177602799649E-2"/>
                  <c:y val="0"/>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'TEMPERATURE FORMULA'!$A$1:$A$4</c:f>
              <c:numCache>
                <c:formatCode>General</c:formatCode>
                <c:ptCount val="4"/>
                <c:pt idx="0">
                  <c:v>0</c:v>
                </c:pt>
                <c:pt idx="1">
                  <c:v>1</c:v>
                </c:pt>
                <c:pt idx="2">
                  <c:v>2</c:v>
                </c:pt>
                <c:pt idx="3">
                  <c:v>3</c:v>
                </c:pt>
              </c:numCache>
            </c:numRef>
          </c:xVal>
          <c:yVal>
            <c:numRef>
              <c:f>'TEMPERATURE FORMULA'!$B$1:$B$4</c:f>
              <c:numCache>
                <c:formatCode>General</c:formatCode>
                <c:ptCount val="4"/>
                <c:pt idx="0">
                  <c:v>-459.67</c:v>
                </c:pt>
                <c:pt idx="1">
                  <c:v>1</c:v>
                </c:pt>
                <c:pt idx="2">
                  <c:v>461.67</c:v>
                </c:pt>
                <c:pt idx="3">
                  <c:v>922.34</c:v>
                </c:pt>
              </c:numCache>
            </c:numRef>
          </c:yVal>
          <c:smooth val="0"/>
          <c:extLst>
            <c:ext xmlns:c16="http://schemas.microsoft.com/office/drawing/2014/chart" uri="{C3380CC4-5D6E-409C-BE32-E72D297353CC}">
              <c16:uniqueId val="{00000000-399C-49DE-8CAC-77AF72A0B201}"/>
            </c:ext>
          </c:extLst>
        </c:ser>
        <c:dLbls>
          <c:showLegendKey val="0"/>
          <c:showVal val="0"/>
          <c:showCatName val="0"/>
          <c:showSerName val="0"/>
          <c:showPercent val="0"/>
          <c:showBubbleSize val="0"/>
        </c:dLbls>
        <c:axId val="1011112288"/>
        <c:axId val="1692899696"/>
      </c:scatterChart>
      <c:valAx>
        <c:axId val="1011112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2899696"/>
        <c:crosses val="autoZero"/>
        <c:crossBetween val="midCat"/>
      </c:valAx>
      <c:valAx>
        <c:axId val="1692899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112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571500</xdr:colOff>
      <xdr:row>3</xdr:row>
      <xdr:rowOff>119062</xdr:rowOff>
    </xdr:from>
    <xdr:to>
      <xdr:col>10</xdr:col>
      <xdr:colOff>266700</xdr:colOff>
      <xdr:row>18</xdr:row>
      <xdr:rowOff>4762</xdr:rowOff>
    </xdr:to>
    <xdr:graphicFrame macro="">
      <xdr:nvGraphicFramePr>
        <xdr:cNvPr id="2" name="Chart 1">
          <a:extLst>
            <a:ext uri="{FF2B5EF4-FFF2-40B4-BE49-F238E27FC236}">
              <a16:creationId xmlns:a16="http://schemas.microsoft.com/office/drawing/2014/main" id="{8A3CD6CC-6183-4265-B96A-1D42562951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15681-7D4B-4DB7-B6CB-827A374EA795}">
  <dimension ref="A1:B5"/>
  <sheetViews>
    <sheetView workbookViewId="0">
      <selection activeCell="B4" sqref="B4"/>
    </sheetView>
  </sheetViews>
  <sheetFormatPr defaultRowHeight="15" x14ac:dyDescent="0.25"/>
  <cols>
    <col min="1" max="1" width="32" customWidth="1"/>
    <col min="2" max="2" width="88.42578125" customWidth="1"/>
  </cols>
  <sheetData>
    <row r="1" spans="1:2" ht="60" customHeight="1" x14ac:dyDescent="0.25">
      <c r="A1" s="9" t="s">
        <v>19</v>
      </c>
      <c r="B1" s="10"/>
    </row>
    <row r="2" spans="1:2" ht="67.5" customHeight="1" x14ac:dyDescent="0.25">
      <c r="A2" s="7" t="s">
        <v>20</v>
      </c>
      <c r="B2" s="5" t="s">
        <v>27</v>
      </c>
    </row>
    <row r="3" spans="1:2" ht="75" customHeight="1" x14ac:dyDescent="0.25">
      <c r="A3" s="8" t="s">
        <v>21</v>
      </c>
      <c r="B3" s="6" t="s">
        <v>23</v>
      </c>
    </row>
    <row r="4" spans="1:2" ht="54.75" customHeight="1" x14ac:dyDescent="0.25">
      <c r="A4" s="7" t="s">
        <v>22</v>
      </c>
      <c r="B4" s="5" t="s">
        <v>25</v>
      </c>
    </row>
    <row r="5" spans="1:2" ht="45.75" customHeight="1" x14ac:dyDescent="0.25">
      <c r="A5" s="8" t="s">
        <v>24</v>
      </c>
      <c r="B5" s="6" t="s">
        <v>26</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56E61-2E2C-47C4-8C2E-4966BFACACF8}">
  <sheetPr codeName="Sheet1"/>
  <dimension ref="A1:C84"/>
  <sheetViews>
    <sheetView tabSelected="1" workbookViewId="0">
      <selection activeCell="I20" sqref="I20"/>
    </sheetView>
  </sheetViews>
  <sheetFormatPr defaultRowHeight="15" x14ac:dyDescent="0.25"/>
  <cols>
    <col min="1" max="1" width="45.5703125" style="2" bestFit="1" customWidth="1"/>
    <col min="2" max="2" width="9.140625" style="2"/>
  </cols>
  <sheetData>
    <row r="1" spans="1:3" x14ac:dyDescent="0.25">
      <c r="A1" s="2" t="s">
        <v>16</v>
      </c>
      <c r="B1" s="2" t="s">
        <v>18</v>
      </c>
      <c r="C1" s="4" t="s">
        <v>17</v>
      </c>
    </row>
    <row r="2" spans="1:3" x14ac:dyDescent="0.25">
      <c r="A2" s="2" t="s">
        <v>177</v>
      </c>
      <c r="B2" s="2" t="s">
        <v>178</v>
      </c>
      <c r="C2" s="4">
        <v>44438</v>
      </c>
    </row>
    <row r="3" spans="1:3" x14ac:dyDescent="0.25">
      <c r="A3" s="2" t="s">
        <v>179</v>
      </c>
      <c r="B3" s="2" t="s">
        <v>151</v>
      </c>
    </row>
    <row r="4" spans="1:3" x14ac:dyDescent="0.25">
      <c r="A4" s="2" t="s">
        <v>145</v>
      </c>
      <c r="B4" s="2" t="s">
        <v>211</v>
      </c>
    </row>
    <row r="5" spans="1:3" x14ac:dyDescent="0.25">
      <c r="A5" s="2" t="s">
        <v>167</v>
      </c>
      <c r="B5" s="2" t="s">
        <v>206</v>
      </c>
    </row>
    <row r="6" spans="1:3" x14ac:dyDescent="0.25">
      <c r="A6" s="2" t="s">
        <v>173</v>
      </c>
      <c r="B6" s="2" t="s">
        <v>153</v>
      </c>
    </row>
    <row r="7" spans="1:3" x14ac:dyDescent="0.25">
      <c r="A7" s="2" t="s">
        <v>150</v>
      </c>
      <c r="B7" s="2" t="s">
        <v>151</v>
      </c>
    </row>
    <row r="8" spans="1:3" x14ac:dyDescent="0.25">
      <c r="A8" s="2" t="s">
        <v>163</v>
      </c>
      <c r="B8" s="2" t="s">
        <v>212</v>
      </c>
    </row>
    <row r="9" spans="1:3" x14ac:dyDescent="0.25">
      <c r="A9" s="2" t="s">
        <v>149</v>
      </c>
      <c r="B9" s="2" t="s">
        <v>146</v>
      </c>
    </row>
    <row r="10" spans="1:3" x14ac:dyDescent="0.25">
      <c r="A10" s="2" t="s">
        <v>161</v>
      </c>
      <c r="B10" s="2" t="s">
        <v>153</v>
      </c>
    </row>
    <row r="11" spans="1:3" x14ac:dyDescent="0.25">
      <c r="A11" s="2" t="s">
        <v>172</v>
      </c>
      <c r="B11" s="2" t="s">
        <v>153</v>
      </c>
    </row>
    <row r="12" spans="1:3" x14ac:dyDescent="0.25">
      <c r="A12" s="2" t="s">
        <v>155</v>
      </c>
      <c r="B12" s="2" t="s">
        <v>156</v>
      </c>
    </row>
    <row r="13" spans="1:3" x14ac:dyDescent="0.25">
      <c r="A13" s="2" t="s">
        <v>60</v>
      </c>
      <c r="B13" s="2" t="s">
        <v>61</v>
      </c>
    </row>
    <row r="14" spans="1:3" x14ac:dyDescent="0.25">
      <c r="A14" s="2" t="s">
        <v>162</v>
      </c>
      <c r="B14" s="2" t="s">
        <v>153</v>
      </c>
    </row>
    <row r="15" spans="1:3" x14ac:dyDescent="0.25">
      <c r="A15" s="2" t="s">
        <v>60</v>
      </c>
      <c r="B15" s="2" t="s">
        <v>61</v>
      </c>
    </row>
    <row r="16" spans="1:3" x14ac:dyDescent="0.25">
      <c r="A16" s="2" t="s">
        <v>75</v>
      </c>
      <c r="B16" s="2" t="s">
        <v>153</v>
      </c>
      <c r="C16" s="4"/>
    </row>
    <row r="17" spans="1:3" x14ac:dyDescent="0.25">
      <c r="A17" s="2" t="s">
        <v>175</v>
      </c>
      <c r="B17" s="2" t="s">
        <v>176</v>
      </c>
    </row>
    <row r="18" spans="1:3" x14ac:dyDescent="0.25">
      <c r="A18" s="2" t="s">
        <v>102</v>
      </c>
      <c r="B18" s="2" t="s">
        <v>153</v>
      </c>
    </row>
    <row r="19" spans="1:3" x14ac:dyDescent="0.25">
      <c r="A19" s="2" t="s">
        <v>51</v>
      </c>
      <c r="B19" s="2" t="s">
        <v>156</v>
      </c>
    </row>
    <row r="20" spans="1:3" x14ac:dyDescent="0.25">
      <c r="A20" s="2" t="s">
        <v>182</v>
      </c>
      <c r="B20" s="2" t="s">
        <v>178</v>
      </c>
      <c r="C20" s="1"/>
    </row>
    <row r="21" spans="1:3" x14ac:dyDescent="0.25">
      <c r="A21" s="2" t="s">
        <v>168</v>
      </c>
      <c r="B21" s="2" t="s">
        <v>169</v>
      </c>
    </row>
    <row r="22" spans="1:3" x14ac:dyDescent="0.25">
      <c r="A22" s="2" t="s">
        <v>181</v>
      </c>
      <c r="B22" s="2" t="s">
        <v>194</v>
      </c>
    </row>
    <row r="23" spans="1:3" x14ac:dyDescent="0.25">
      <c r="A23" s="2" t="s">
        <v>171</v>
      </c>
      <c r="B23" s="2" t="s">
        <v>183</v>
      </c>
    </row>
    <row r="24" spans="1:3" x14ac:dyDescent="0.25">
      <c r="A24" s="2" t="s">
        <v>152</v>
      </c>
      <c r="B24" s="2" t="s">
        <v>153</v>
      </c>
    </row>
    <row r="25" spans="1:3" x14ac:dyDescent="0.25">
      <c r="A25" s="2" t="s">
        <v>158</v>
      </c>
      <c r="B25" s="2" t="s">
        <v>153</v>
      </c>
    </row>
    <row r="26" spans="1:3" x14ac:dyDescent="0.25">
      <c r="A26" s="2" t="s">
        <v>160</v>
      </c>
      <c r="B26" s="2" t="s">
        <v>153</v>
      </c>
    </row>
    <row r="27" spans="1:3" x14ac:dyDescent="0.25">
      <c r="A27" s="2" t="s">
        <v>166</v>
      </c>
      <c r="B27" s="2" t="s">
        <v>213</v>
      </c>
    </row>
    <row r="28" spans="1:3" x14ac:dyDescent="0.25">
      <c r="A28" s="2" t="s">
        <v>174</v>
      </c>
      <c r="B28" s="2" t="s">
        <v>153</v>
      </c>
    </row>
    <row r="29" spans="1:3" x14ac:dyDescent="0.25">
      <c r="A29" s="2" t="s">
        <v>146</v>
      </c>
      <c r="B29" s="2" t="s">
        <v>147</v>
      </c>
    </row>
    <row r="30" spans="1:3" x14ac:dyDescent="0.25">
      <c r="A30" s="2" t="s">
        <v>164</v>
      </c>
      <c r="B30" s="2" t="s">
        <v>49</v>
      </c>
    </row>
    <row r="31" spans="1:3" x14ac:dyDescent="0.25">
      <c r="A31" s="2" t="s">
        <v>148</v>
      </c>
      <c r="B31" s="2" t="s">
        <v>214</v>
      </c>
    </row>
    <row r="32" spans="1:3" x14ac:dyDescent="0.25">
      <c r="A32" s="2" t="s">
        <v>170</v>
      </c>
      <c r="B32" s="2" t="s">
        <v>153</v>
      </c>
    </row>
    <row r="33" spans="1:3" x14ac:dyDescent="0.25">
      <c r="A33" s="2" t="s">
        <v>154</v>
      </c>
      <c r="B33" s="2" t="s">
        <v>215</v>
      </c>
    </row>
    <row r="34" spans="1:3" x14ac:dyDescent="0.25">
      <c r="A34" s="2" t="s">
        <v>159</v>
      </c>
      <c r="B34" s="2" t="s">
        <v>153</v>
      </c>
    </row>
    <row r="35" spans="1:3" x14ac:dyDescent="0.25">
      <c r="A35" s="2" t="s">
        <v>146</v>
      </c>
      <c r="B35" s="2" t="s">
        <v>147</v>
      </c>
    </row>
    <row r="36" spans="1:3" x14ac:dyDescent="0.25">
      <c r="A36" s="2" t="s">
        <v>180</v>
      </c>
      <c r="B36" s="2" t="s">
        <v>79</v>
      </c>
    </row>
    <row r="37" spans="1:3" x14ac:dyDescent="0.25">
      <c r="A37" s="2" t="s">
        <v>165</v>
      </c>
      <c r="B37" s="2" t="s">
        <v>153</v>
      </c>
    </row>
    <row r="38" spans="1:3" x14ac:dyDescent="0.25">
      <c r="A38" s="2" t="s">
        <v>157</v>
      </c>
      <c r="B38" s="2" t="s">
        <v>53</v>
      </c>
    </row>
    <row r="39" spans="1:3" x14ac:dyDescent="0.25">
      <c r="A39" s="2" t="s">
        <v>180</v>
      </c>
      <c r="B39" s="2" t="s">
        <v>79</v>
      </c>
    </row>
    <row r="40" spans="1:3" x14ac:dyDescent="0.25">
      <c r="A40" s="2" t="s">
        <v>146</v>
      </c>
      <c r="B40" s="2" t="s">
        <v>147</v>
      </c>
    </row>
    <row r="41" spans="1:3" x14ac:dyDescent="0.25">
      <c r="A41" s="2" t="s">
        <v>160</v>
      </c>
      <c r="B41" s="2" t="s">
        <v>153</v>
      </c>
      <c r="C41" s="4"/>
    </row>
    <row r="52" spans="3:3" x14ac:dyDescent="0.25">
      <c r="C52" s="4"/>
    </row>
    <row r="56" spans="3:3" x14ac:dyDescent="0.25">
      <c r="C56" s="4"/>
    </row>
    <row r="71" spans="2:2" x14ac:dyDescent="0.25">
      <c r="B71" s="3"/>
    </row>
    <row r="84" spans="2:2" x14ac:dyDescent="0.25">
      <c r="B84" s="3"/>
    </row>
  </sheetData>
  <autoFilter ref="A1:C84" xr:uid="{6C456E61-2E2C-47C4-8C2E-4966BFACACF8}">
    <sortState xmlns:xlrd2="http://schemas.microsoft.com/office/spreadsheetml/2017/richdata2" ref="A2:C84">
      <sortCondition ref="A1:A84"/>
    </sortState>
  </autoFilter>
  <sortState xmlns:xlrd2="http://schemas.microsoft.com/office/spreadsheetml/2017/richdata2" ref="A2:C59">
    <sortCondition ref="A2:A59"/>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5E5A6-ACD6-46A7-BADE-745CABFBA12A}">
  <sheetPr codeName="Sheet2"/>
  <dimension ref="A1:C100"/>
  <sheetViews>
    <sheetView workbookViewId="0">
      <selection activeCell="D3" sqref="D3"/>
    </sheetView>
  </sheetViews>
  <sheetFormatPr defaultRowHeight="15" x14ac:dyDescent="0.25"/>
  <cols>
    <col min="1" max="1" width="52.42578125" bestFit="1" customWidth="1"/>
  </cols>
  <sheetData>
    <row r="1" spans="1:3" x14ac:dyDescent="0.25">
      <c r="A1" t="s">
        <v>16</v>
      </c>
      <c r="B1" t="s">
        <v>18</v>
      </c>
      <c r="C1" s="4" t="s">
        <v>17</v>
      </c>
    </row>
    <row r="2" spans="1:3" x14ac:dyDescent="0.25">
      <c r="A2" t="s">
        <v>94</v>
      </c>
      <c r="B2" t="s">
        <v>184</v>
      </c>
      <c r="C2" s="4">
        <v>44438</v>
      </c>
    </row>
    <row r="3" spans="1:3" x14ac:dyDescent="0.25">
      <c r="A3" t="s">
        <v>30</v>
      </c>
      <c r="B3" t="s">
        <v>185</v>
      </c>
    </row>
    <row r="4" spans="1:3" x14ac:dyDescent="0.25">
      <c r="A4" t="s">
        <v>66</v>
      </c>
      <c r="B4" t="s">
        <v>67</v>
      </c>
    </row>
    <row r="5" spans="1:3" x14ac:dyDescent="0.25">
      <c r="A5" t="s">
        <v>58</v>
      </c>
      <c r="B5" t="s">
        <v>186</v>
      </c>
    </row>
    <row r="6" spans="1:3" x14ac:dyDescent="0.25">
      <c r="A6" t="s">
        <v>82</v>
      </c>
      <c r="B6">
        <v>1.43</v>
      </c>
    </row>
    <row r="7" spans="1:3" x14ac:dyDescent="0.25">
      <c r="A7" t="s">
        <v>77</v>
      </c>
    </row>
    <row r="8" spans="1:3" x14ac:dyDescent="0.25">
      <c r="A8" t="s">
        <v>105</v>
      </c>
      <c r="B8" t="s">
        <v>187</v>
      </c>
    </row>
    <row r="9" spans="1:3" x14ac:dyDescent="0.25">
      <c r="A9" t="s">
        <v>60</v>
      </c>
      <c r="B9" s="1" t="s">
        <v>61</v>
      </c>
    </row>
    <row r="10" spans="1:3" x14ac:dyDescent="0.25">
      <c r="A10" t="s">
        <v>188</v>
      </c>
      <c r="B10" t="s">
        <v>88</v>
      </c>
    </row>
    <row r="11" spans="1:3" x14ac:dyDescent="0.25">
      <c r="A11" t="s">
        <v>35</v>
      </c>
      <c r="B11" t="s">
        <v>36</v>
      </c>
    </row>
    <row r="12" spans="1:3" x14ac:dyDescent="0.25">
      <c r="A12" t="s">
        <v>80</v>
      </c>
      <c r="B12" t="s">
        <v>71</v>
      </c>
    </row>
    <row r="13" spans="1:3" x14ac:dyDescent="0.25">
      <c r="A13" t="s">
        <v>89</v>
      </c>
      <c r="B13" t="s">
        <v>90</v>
      </c>
    </row>
    <row r="14" spans="1:3" x14ac:dyDescent="0.25">
      <c r="A14" t="s">
        <v>136</v>
      </c>
      <c r="B14" t="s">
        <v>189</v>
      </c>
    </row>
    <row r="15" spans="1:3" x14ac:dyDescent="0.25">
      <c r="A15" t="s">
        <v>68</v>
      </c>
      <c r="B15" t="s">
        <v>69</v>
      </c>
    </row>
    <row r="16" spans="1:3" x14ac:dyDescent="0.25">
      <c r="A16" t="s">
        <v>92</v>
      </c>
      <c r="B16" t="s">
        <v>190</v>
      </c>
    </row>
    <row r="17" spans="1:2" x14ac:dyDescent="0.25">
      <c r="A17" t="s">
        <v>62</v>
      </c>
      <c r="B17" s="1" t="s">
        <v>63</v>
      </c>
    </row>
    <row r="18" spans="1:2" x14ac:dyDescent="0.25">
      <c r="A18" t="s">
        <v>28</v>
      </c>
      <c r="B18" t="s">
        <v>191</v>
      </c>
    </row>
    <row r="19" spans="1:2" x14ac:dyDescent="0.25">
      <c r="A19" t="s">
        <v>138</v>
      </c>
      <c r="B19" t="s">
        <v>192</v>
      </c>
    </row>
    <row r="20" spans="1:2" x14ac:dyDescent="0.25">
      <c r="A20" t="s">
        <v>37</v>
      </c>
      <c r="B20" s="1">
        <v>0.16666666666666666</v>
      </c>
    </row>
    <row r="21" spans="1:2" x14ac:dyDescent="0.25">
      <c r="A21" t="s">
        <v>70</v>
      </c>
      <c r="B21" t="s">
        <v>71</v>
      </c>
    </row>
    <row r="22" spans="1:2" x14ac:dyDescent="0.25">
      <c r="A22" t="s">
        <v>51</v>
      </c>
      <c r="B22">
        <v>-1</v>
      </c>
    </row>
    <row r="23" spans="1:2" x14ac:dyDescent="0.25">
      <c r="A23" t="s">
        <v>95</v>
      </c>
      <c r="B23">
        <v>12</v>
      </c>
    </row>
    <row r="24" spans="1:2" x14ac:dyDescent="0.25">
      <c r="A24" t="s">
        <v>52</v>
      </c>
    </row>
    <row r="25" spans="1:2" x14ac:dyDescent="0.25">
      <c r="A25" t="s">
        <v>78</v>
      </c>
      <c r="B25" t="s">
        <v>79</v>
      </c>
    </row>
    <row r="26" spans="1:2" x14ac:dyDescent="0.25">
      <c r="A26" t="s">
        <v>109</v>
      </c>
      <c r="B26" t="s">
        <v>193</v>
      </c>
    </row>
    <row r="27" spans="1:2" x14ac:dyDescent="0.25">
      <c r="A27" t="s">
        <v>99</v>
      </c>
      <c r="B27" t="s">
        <v>100</v>
      </c>
    </row>
    <row r="28" spans="1:2" x14ac:dyDescent="0.25">
      <c r="A28" t="s">
        <v>73</v>
      </c>
      <c r="B28" t="s">
        <v>74</v>
      </c>
    </row>
    <row r="29" spans="1:2" x14ac:dyDescent="0.25">
      <c r="A29" t="s">
        <v>28</v>
      </c>
    </row>
    <row r="30" spans="1:2" x14ac:dyDescent="0.25">
      <c r="A30" t="s">
        <v>143</v>
      </c>
      <c r="B30">
        <v>4.8099999999999996</v>
      </c>
    </row>
    <row r="31" spans="1:2" x14ac:dyDescent="0.25">
      <c r="A31" t="s">
        <v>123</v>
      </c>
      <c r="B31" t="s">
        <v>124</v>
      </c>
    </row>
    <row r="32" spans="1:2" x14ac:dyDescent="0.25">
      <c r="A32" t="s">
        <v>112</v>
      </c>
    </row>
    <row r="33" spans="1:3" x14ac:dyDescent="0.25">
      <c r="A33" t="s">
        <v>57</v>
      </c>
      <c r="B33" t="s">
        <v>39</v>
      </c>
    </row>
    <row r="34" spans="1:3" x14ac:dyDescent="0.25">
      <c r="A34" t="s">
        <v>38</v>
      </c>
      <c r="B34" t="s">
        <v>39</v>
      </c>
    </row>
    <row r="35" spans="1:3" x14ac:dyDescent="0.25">
      <c r="A35" t="s">
        <v>127</v>
      </c>
      <c r="B35" t="s">
        <v>194</v>
      </c>
    </row>
    <row r="36" spans="1:3" x14ac:dyDescent="0.25">
      <c r="A36" t="s">
        <v>140</v>
      </c>
      <c r="B36" t="s">
        <v>141</v>
      </c>
    </row>
    <row r="37" spans="1:3" x14ac:dyDescent="0.25">
      <c r="A37" t="s">
        <v>132</v>
      </c>
      <c r="B37" t="s">
        <v>122</v>
      </c>
    </row>
    <row r="38" spans="1:3" x14ac:dyDescent="0.25">
      <c r="A38" t="s">
        <v>46</v>
      </c>
      <c r="B38" t="s">
        <v>47</v>
      </c>
    </row>
    <row r="39" spans="1:3" x14ac:dyDescent="0.25">
      <c r="A39" t="s">
        <v>102</v>
      </c>
      <c r="B39" t="s">
        <v>194</v>
      </c>
    </row>
    <row r="40" spans="1:3" x14ac:dyDescent="0.25">
      <c r="A40" t="s">
        <v>33</v>
      </c>
      <c r="B40" t="s">
        <v>195</v>
      </c>
    </row>
    <row r="41" spans="1:3" x14ac:dyDescent="0.25">
      <c r="A41" t="s">
        <v>34</v>
      </c>
      <c r="B41" t="s">
        <v>196</v>
      </c>
    </row>
    <row r="42" spans="1:3" x14ac:dyDescent="0.25">
      <c r="A42" t="s">
        <v>103</v>
      </c>
      <c r="B42" t="s">
        <v>104</v>
      </c>
    </row>
    <row r="43" spans="1:3" x14ac:dyDescent="0.25">
      <c r="A43" t="s">
        <v>197</v>
      </c>
      <c r="B43" t="s">
        <v>198</v>
      </c>
      <c r="C43" s="4"/>
    </row>
    <row r="44" spans="1:3" x14ac:dyDescent="0.25">
      <c r="A44" t="s">
        <v>121</v>
      </c>
      <c r="B44" t="s">
        <v>122</v>
      </c>
    </row>
    <row r="45" spans="1:3" x14ac:dyDescent="0.25">
      <c r="A45" t="s">
        <v>93</v>
      </c>
      <c r="B45" t="s">
        <v>84</v>
      </c>
    </row>
    <row r="46" spans="1:3" x14ac:dyDescent="0.25">
      <c r="A46" t="s">
        <v>107</v>
      </c>
      <c r="B46" t="s">
        <v>108</v>
      </c>
    </row>
    <row r="47" spans="1:3" x14ac:dyDescent="0.25">
      <c r="A47" t="s">
        <v>72</v>
      </c>
      <c r="B47" t="s">
        <v>199</v>
      </c>
    </row>
    <row r="48" spans="1:3" x14ac:dyDescent="0.25">
      <c r="A48" t="s">
        <v>97</v>
      </c>
      <c r="B48" t="s">
        <v>200</v>
      </c>
    </row>
    <row r="49" spans="1:2" x14ac:dyDescent="0.25">
      <c r="A49" t="s">
        <v>54</v>
      </c>
      <c r="B49" t="s">
        <v>201</v>
      </c>
    </row>
    <row r="50" spans="1:2" x14ac:dyDescent="0.25">
      <c r="A50" t="s">
        <v>129</v>
      </c>
      <c r="B50" t="s">
        <v>130</v>
      </c>
    </row>
    <row r="51" spans="1:2" x14ac:dyDescent="0.25">
      <c r="A51" t="s">
        <v>120</v>
      </c>
      <c r="B51" t="s">
        <v>196</v>
      </c>
    </row>
    <row r="52" spans="1:2" x14ac:dyDescent="0.25">
      <c r="A52" t="s">
        <v>60</v>
      </c>
      <c r="B52" t="s">
        <v>61</v>
      </c>
    </row>
    <row r="53" spans="1:2" x14ac:dyDescent="0.25">
      <c r="A53" t="s">
        <v>85</v>
      </c>
      <c r="B53" t="s">
        <v>86</v>
      </c>
    </row>
    <row r="54" spans="1:2" x14ac:dyDescent="0.25">
      <c r="A54" t="s">
        <v>110</v>
      </c>
      <c r="B54" t="s">
        <v>202</v>
      </c>
    </row>
    <row r="55" spans="1:2" x14ac:dyDescent="0.25">
      <c r="A55" t="s">
        <v>128</v>
      </c>
    </row>
    <row r="56" spans="1:2" x14ac:dyDescent="0.25">
      <c r="A56" t="s">
        <v>91</v>
      </c>
      <c r="B56" t="s">
        <v>53</v>
      </c>
    </row>
    <row r="57" spans="1:2" x14ac:dyDescent="0.25">
      <c r="A57" t="s">
        <v>125</v>
      </c>
      <c r="B57" t="s">
        <v>126</v>
      </c>
    </row>
    <row r="58" spans="1:2" x14ac:dyDescent="0.25">
      <c r="A58" t="s">
        <v>135</v>
      </c>
      <c r="B58" t="s">
        <v>203</v>
      </c>
    </row>
    <row r="59" spans="1:2" x14ac:dyDescent="0.25">
      <c r="A59" t="s">
        <v>118</v>
      </c>
      <c r="B59" t="s">
        <v>108</v>
      </c>
    </row>
    <row r="60" spans="1:2" x14ac:dyDescent="0.25">
      <c r="A60" t="s">
        <v>96</v>
      </c>
      <c r="B60" t="s">
        <v>204</v>
      </c>
    </row>
    <row r="61" spans="1:2" x14ac:dyDescent="0.25">
      <c r="A61" t="s">
        <v>117</v>
      </c>
      <c r="B61" t="s">
        <v>84</v>
      </c>
    </row>
    <row r="62" spans="1:2" x14ac:dyDescent="0.25">
      <c r="A62" t="s">
        <v>144</v>
      </c>
      <c r="B62" s="1" t="s">
        <v>198</v>
      </c>
    </row>
    <row r="63" spans="1:2" x14ac:dyDescent="0.25">
      <c r="A63" t="s">
        <v>55</v>
      </c>
      <c r="B63" t="s">
        <v>56</v>
      </c>
    </row>
    <row r="64" spans="1:2" x14ac:dyDescent="0.25">
      <c r="A64" t="s">
        <v>131</v>
      </c>
      <c r="B64" t="s">
        <v>205</v>
      </c>
    </row>
    <row r="65" spans="1:2" x14ac:dyDescent="0.25">
      <c r="A65" t="s">
        <v>50</v>
      </c>
      <c r="B65" t="s">
        <v>192</v>
      </c>
    </row>
    <row r="66" spans="1:2" x14ac:dyDescent="0.25">
      <c r="A66" t="s">
        <v>31</v>
      </c>
      <c r="B66" t="s">
        <v>32</v>
      </c>
    </row>
    <row r="67" spans="1:2" x14ac:dyDescent="0.25">
      <c r="A67" t="s">
        <v>87</v>
      </c>
      <c r="B67" t="s">
        <v>88</v>
      </c>
    </row>
    <row r="68" spans="1:2" x14ac:dyDescent="0.25">
      <c r="A68" t="s">
        <v>106</v>
      </c>
      <c r="B68" t="s">
        <v>42</v>
      </c>
    </row>
    <row r="69" spans="1:2" x14ac:dyDescent="0.25">
      <c r="A69" t="s">
        <v>114</v>
      </c>
      <c r="B69" t="s">
        <v>115</v>
      </c>
    </row>
    <row r="70" spans="1:2" x14ac:dyDescent="0.25">
      <c r="A70" t="s">
        <v>133</v>
      </c>
      <c r="B70" s="1" t="s">
        <v>65</v>
      </c>
    </row>
    <row r="71" spans="1:2" x14ac:dyDescent="0.25">
      <c r="A71" t="s">
        <v>40</v>
      </c>
      <c r="B71" t="s">
        <v>36</v>
      </c>
    </row>
    <row r="72" spans="1:2" x14ac:dyDescent="0.25">
      <c r="A72" t="s">
        <v>64</v>
      </c>
      <c r="B72" t="s">
        <v>65</v>
      </c>
    </row>
    <row r="73" spans="1:2" x14ac:dyDescent="0.25">
      <c r="A73" t="s">
        <v>83</v>
      </c>
      <c r="B73" t="s">
        <v>203</v>
      </c>
    </row>
    <row r="74" spans="1:2" x14ac:dyDescent="0.25">
      <c r="A74" t="s">
        <v>139</v>
      </c>
      <c r="B74" s="1"/>
    </row>
    <row r="75" spans="1:2" x14ac:dyDescent="0.25">
      <c r="A75" t="s">
        <v>59</v>
      </c>
    </row>
    <row r="76" spans="1:2" x14ac:dyDescent="0.25">
      <c r="A76" t="s">
        <v>44</v>
      </c>
      <c r="B76" t="s">
        <v>45</v>
      </c>
    </row>
    <row r="77" spans="1:2" x14ac:dyDescent="0.25">
      <c r="A77" t="s">
        <v>41</v>
      </c>
      <c r="B77" t="s">
        <v>42</v>
      </c>
    </row>
    <row r="78" spans="1:2" x14ac:dyDescent="0.25">
      <c r="A78" s="2" t="s">
        <v>75</v>
      </c>
      <c r="B78" t="s">
        <v>206</v>
      </c>
    </row>
    <row r="79" spans="1:2" x14ac:dyDescent="0.25">
      <c r="A79" t="s">
        <v>48</v>
      </c>
      <c r="B79" t="s">
        <v>49</v>
      </c>
    </row>
    <row r="80" spans="1:2" x14ac:dyDescent="0.25">
      <c r="A80" t="s">
        <v>76</v>
      </c>
      <c r="B80" t="s">
        <v>207</v>
      </c>
    </row>
    <row r="81" spans="1:2" x14ac:dyDescent="0.25">
      <c r="A81" t="s">
        <v>113</v>
      </c>
      <c r="B81" t="s">
        <v>32</v>
      </c>
    </row>
    <row r="82" spans="1:2" x14ac:dyDescent="0.25">
      <c r="A82" t="s">
        <v>137</v>
      </c>
      <c r="B82" t="s">
        <v>208</v>
      </c>
    </row>
    <row r="83" spans="1:2" x14ac:dyDescent="0.25">
      <c r="A83" t="s">
        <v>29</v>
      </c>
      <c r="B83">
        <v>1</v>
      </c>
    </row>
    <row r="84" spans="1:2" x14ac:dyDescent="0.25">
      <c r="A84" t="s">
        <v>119</v>
      </c>
      <c r="B84" t="s">
        <v>209</v>
      </c>
    </row>
    <row r="85" spans="1:2" x14ac:dyDescent="0.25">
      <c r="A85" t="s">
        <v>116</v>
      </c>
      <c r="B85" s="1" t="s">
        <v>210</v>
      </c>
    </row>
    <row r="86" spans="1:2" x14ac:dyDescent="0.25">
      <c r="A86" t="s">
        <v>111</v>
      </c>
      <c r="B86" s="1">
        <v>0.16666666666666666</v>
      </c>
    </row>
    <row r="87" spans="1:2" x14ac:dyDescent="0.25">
      <c r="A87" t="s">
        <v>98</v>
      </c>
      <c r="B87" s="1">
        <v>0</v>
      </c>
    </row>
    <row r="88" spans="1:2" x14ac:dyDescent="0.25">
      <c r="A88" t="s">
        <v>142</v>
      </c>
    </row>
    <row r="89" spans="1:2" x14ac:dyDescent="0.25">
      <c r="A89" t="s">
        <v>81</v>
      </c>
      <c r="B89" t="s">
        <v>192</v>
      </c>
    </row>
    <row r="90" spans="1:2" x14ac:dyDescent="0.25">
      <c r="A90" t="s">
        <v>134</v>
      </c>
      <c r="B90" t="s">
        <v>47</v>
      </c>
    </row>
    <row r="91" spans="1:2" x14ac:dyDescent="0.25">
      <c r="A91" t="s">
        <v>101</v>
      </c>
    </row>
    <row r="92" spans="1:2" x14ac:dyDescent="0.25">
      <c r="A92" t="s">
        <v>43</v>
      </c>
    </row>
    <row r="97" spans="1:3" x14ac:dyDescent="0.25">
      <c r="A97" s="2"/>
    </row>
    <row r="100" spans="1:3" x14ac:dyDescent="0.25">
      <c r="C100" s="4"/>
    </row>
  </sheetData>
  <autoFilter ref="A1:C114" xr:uid="{0CF5E5A6-ACD6-46A7-BADE-745CABFBA12A}">
    <sortState xmlns:xlrd2="http://schemas.microsoft.com/office/spreadsheetml/2017/richdata2" ref="A2:C114">
      <sortCondition ref="A1:A114"/>
    </sortState>
  </autoFilter>
  <sortState xmlns:xlrd2="http://schemas.microsoft.com/office/spreadsheetml/2017/richdata2" ref="A1:B113">
    <sortCondition ref="A1: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A3526-B3A7-482A-8CFD-7E10656286EE}">
  <sheetPr codeName="Sheet3"/>
  <dimension ref="A1:E24"/>
  <sheetViews>
    <sheetView workbookViewId="0">
      <selection activeCell="C19" sqref="C19"/>
    </sheetView>
  </sheetViews>
  <sheetFormatPr defaultRowHeight="15" x14ac:dyDescent="0.25"/>
  <cols>
    <col min="1" max="1" width="53" customWidth="1"/>
    <col min="2" max="2" width="7.5703125" customWidth="1"/>
    <col min="3" max="3" width="8.7109375" style="2" customWidth="1"/>
    <col min="4" max="4" width="53.5703125" customWidth="1"/>
  </cols>
  <sheetData>
    <row r="1" spans="1:5" x14ac:dyDescent="0.25">
      <c r="A1" t="str" cm="1">
        <f t="array" ref="A1">"{"&amp;_xlfn.CONCAT(TRANSPOSE(D:D))&amp;"};"</f>
        <v>{"Design ER Summer Exhaust Entering Air DB Temperature", "Design ER Summer Exhaust Entering Air WB Temperature", "Design ER Summer Exhaust Leaving Air DB Temperature", "Design ER Summer Exhaust Leaving Air WB Temperature", "Design ER Summer Supply Entering Air DB Temperature", "Design ER Summer Supply Entering Air WB Temperature", "Design ER Summer Supply Leaving Air DB Temperature", "Design ER Summer Supply Leaving Air WB Temperature", "Design ER Winter Exhaust Entering Air DB Temperature", "Design ER Winter Exhaust Entering Air WB Temperature", "Design ER Winter Exhaust Leaving Air DB Temperature", "Design ER Winter Exhaust Leaving Air WB Temperature", "Design ER Winter Supply Entering Air DB Temperature", "Design ER Winter Supply Entering Air WB Temperature", "Design ER Winter Supply Leaving Air DB Temperature", "Design ER Winter Supply Leaving Air WB Temperature" };</v>
      </c>
    </row>
    <row r="2" spans="1:5" x14ac:dyDescent="0.25">
      <c r="A2" t="str" cm="1">
        <f t="array" ref="A2">"{"&amp;_xlfn.CONCAT(TRANSPOSE(E:E))&amp;"};"</f>
        <v>{1.17148935246489, 1.10636681355417, 1.1910261141381, 1.16280634727679, 1.20405062192025, 1.15846484468274, 1.17800160635596, 1.1454403369006, 1.14978183949465, 1.11287906744524, 1.11287906744524, 1.11287906744524, 1.02821976686131, 1.02821976686131, 1.10636681355417, 1.08900080317798 };</v>
      </c>
    </row>
    <row r="3" spans="1:5" x14ac:dyDescent="0.25">
      <c r="A3" t="s">
        <v>14</v>
      </c>
      <c r="B3">
        <v>80</v>
      </c>
      <c r="D3" t="str">
        <f t="shared" ref="D3:D17" si="0">""""&amp;A3&amp;""""&amp;", "</f>
        <v xml:space="preserve">"Design ER Summer Exhaust Entering Air DB Temperature", </v>
      </c>
      <c r="E3" t="str">
        <f t="shared" ref="E3:E17" si="1">(B3+459.67)/460.67&amp;", "</f>
        <v xml:space="preserve">1.17148935246489, </v>
      </c>
    </row>
    <row r="4" spans="1:5" x14ac:dyDescent="0.25">
      <c r="A4" t="s">
        <v>12</v>
      </c>
      <c r="B4">
        <v>50</v>
      </c>
      <c r="D4" t="str">
        <f t="shared" si="0"/>
        <v xml:space="preserve">"Design ER Summer Exhaust Entering Air WB Temperature", </v>
      </c>
      <c r="E4" t="str">
        <f t="shared" si="1"/>
        <v xml:space="preserve">1.10636681355417, </v>
      </c>
    </row>
    <row r="5" spans="1:5" x14ac:dyDescent="0.25">
      <c r="A5" t="s">
        <v>15</v>
      </c>
      <c r="B5">
        <v>89</v>
      </c>
      <c r="D5" t="str">
        <f t="shared" si="0"/>
        <v xml:space="preserve">"Design ER Summer Exhaust Leaving Air DB Temperature", </v>
      </c>
      <c r="E5" t="str">
        <f t="shared" si="1"/>
        <v xml:space="preserve">1.1910261141381, </v>
      </c>
    </row>
    <row r="6" spans="1:5" x14ac:dyDescent="0.25">
      <c r="A6" t="s">
        <v>8</v>
      </c>
      <c r="B6">
        <v>76</v>
      </c>
      <c r="D6" t="str">
        <f t="shared" si="0"/>
        <v xml:space="preserve">"Design ER Summer Exhaust Leaving Air WB Temperature", </v>
      </c>
      <c r="E6" t="str">
        <f t="shared" si="1"/>
        <v xml:space="preserve">1.16280634727679, </v>
      </c>
    </row>
    <row r="7" spans="1:5" x14ac:dyDescent="0.25">
      <c r="A7" t="s">
        <v>6</v>
      </c>
      <c r="B7">
        <v>95</v>
      </c>
      <c r="D7" t="str">
        <f t="shared" si="0"/>
        <v xml:space="preserve">"Design ER Summer Supply Entering Air DB Temperature", </v>
      </c>
      <c r="E7" t="str">
        <f t="shared" si="1"/>
        <v xml:space="preserve">1.20405062192025, </v>
      </c>
    </row>
    <row r="8" spans="1:5" x14ac:dyDescent="0.25">
      <c r="A8" t="s">
        <v>11</v>
      </c>
      <c r="B8">
        <v>74</v>
      </c>
      <c r="D8" t="str">
        <f t="shared" si="0"/>
        <v xml:space="preserve">"Design ER Summer Supply Entering Air WB Temperature", </v>
      </c>
      <c r="E8" t="str">
        <f t="shared" si="1"/>
        <v xml:space="preserve">1.15846484468274, </v>
      </c>
    </row>
    <row r="9" spans="1:5" x14ac:dyDescent="0.25">
      <c r="A9" t="s">
        <v>3</v>
      </c>
      <c r="B9">
        <v>83</v>
      </c>
      <c r="D9" t="str">
        <f t="shared" si="0"/>
        <v xml:space="preserve">"Design ER Summer Supply Leaving Air DB Temperature", </v>
      </c>
      <c r="E9" t="str">
        <f t="shared" si="1"/>
        <v xml:space="preserve">1.17800160635596, </v>
      </c>
    </row>
    <row r="10" spans="1:5" x14ac:dyDescent="0.25">
      <c r="A10" t="s">
        <v>1</v>
      </c>
      <c r="B10">
        <v>68</v>
      </c>
      <c r="D10" t="str">
        <f t="shared" si="0"/>
        <v xml:space="preserve">"Design ER Summer Supply Leaving Air WB Temperature", </v>
      </c>
      <c r="E10" t="str">
        <f t="shared" si="1"/>
        <v xml:space="preserve">1.1454403369006, </v>
      </c>
    </row>
    <row r="11" spans="1:5" x14ac:dyDescent="0.25">
      <c r="A11" t="s">
        <v>0</v>
      </c>
      <c r="B11">
        <v>70</v>
      </c>
      <c r="D11" t="str">
        <f t="shared" si="0"/>
        <v xml:space="preserve">"Design ER Winter Exhaust Entering Air DB Temperature", </v>
      </c>
      <c r="E11" t="str">
        <f t="shared" si="1"/>
        <v xml:space="preserve">1.14978183949465, </v>
      </c>
    </row>
    <row r="12" spans="1:5" x14ac:dyDescent="0.25">
      <c r="A12" t="s">
        <v>9</v>
      </c>
      <c r="B12">
        <v>53</v>
      </c>
      <c r="D12" t="str">
        <f t="shared" si="0"/>
        <v xml:space="preserve">"Design ER Winter Exhaust Entering Air WB Temperature", </v>
      </c>
      <c r="E12" t="str">
        <f t="shared" si="1"/>
        <v xml:space="preserve">1.11287906744524, </v>
      </c>
    </row>
    <row r="13" spans="1:5" x14ac:dyDescent="0.25">
      <c r="A13" t="s">
        <v>7</v>
      </c>
      <c r="B13">
        <v>53</v>
      </c>
      <c r="D13" t="str">
        <f t="shared" si="0"/>
        <v xml:space="preserve">"Design ER Winter Exhaust Leaving Air DB Temperature", </v>
      </c>
      <c r="E13" t="str">
        <f t="shared" si="1"/>
        <v xml:space="preserve">1.11287906744524, </v>
      </c>
    </row>
    <row r="14" spans="1:5" x14ac:dyDescent="0.25">
      <c r="A14" t="s">
        <v>13</v>
      </c>
      <c r="B14">
        <v>53</v>
      </c>
      <c r="D14" t="str">
        <f t="shared" si="0"/>
        <v xml:space="preserve">"Design ER Winter Exhaust Leaving Air WB Temperature", </v>
      </c>
      <c r="E14" t="str">
        <f t="shared" si="1"/>
        <v xml:space="preserve">1.11287906744524, </v>
      </c>
    </row>
    <row r="15" spans="1:5" x14ac:dyDescent="0.25">
      <c r="A15" t="s">
        <v>4</v>
      </c>
      <c r="B15">
        <v>14</v>
      </c>
      <c r="D15" t="str">
        <f t="shared" si="0"/>
        <v xml:space="preserve">"Design ER Winter Supply Entering Air DB Temperature", </v>
      </c>
      <c r="E15" t="str">
        <f t="shared" si="1"/>
        <v xml:space="preserve">1.02821976686131, </v>
      </c>
    </row>
    <row r="16" spans="1:5" x14ac:dyDescent="0.25">
      <c r="A16" t="s">
        <v>5</v>
      </c>
      <c r="B16">
        <v>14</v>
      </c>
      <c r="D16" t="str">
        <f t="shared" si="0"/>
        <v xml:space="preserve">"Design ER Winter Supply Entering Air WB Temperature", </v>
      </c>
      <c r="E16" t="str">
        <f t="shared" si="1"/>
        <v xml:space="preserve">1.02821976686131, </v>
      </c>
    </row>
    <row r="17" spans="1:5" x14ac:dyDescent="0.25">
      <c r="A17" t="s">
        <v>2</v>
      </c>
      <c r="B17">
        <v>50</v>
      </c>
      <c r="D17" t="str">
        <f t="shared" si="0"/>
        <v xml:space="preserve">"Design ER Winter Supply Leaving Air DB Temperature", </v>
      </c>
      <c r="E17" t="str">
        <f t="shared" si="1"/>
        <v xml:space="preserve">1.10636681355417, </v>
      </c>
    </row>
    <row r="18" spans="1:5" x14ac:dyDescent="0.25">
      <c r="A18" t="s">
        <v>10</v>
      </c>
      <c r="B18">
        <v>42</v>
      </c>
      <c r="D18" t="str">
        <f>""""&amp;A18&amp;""""&amp;" "</f>
        <v xml:space="preserve">"Design ER Winter Supply Leaving Air WB Temperature" </v>
      </c>
      <c r="E18" t="str">
        <f>(B18+459.67)/460.67&amp;" "</f>
        <v xml:space="preserve">1.08900080317798 </v>
      </c>
    </row>
    <row r="19" spans="1:5" x14ac:dyDescent="0.25">
      <c r="A19" s="2"/>
    </row>
    <row r="20" spans="1:5" x14ac:dyDescent="0.25">
      <c r="A20" s="2"/>
    </row>
    <row r="21" spans="1:5" x14ac:dyDescent="0.25">
      <c r="A21" s="2"/>
    </row>
    <row r="22" spans="1:5" x14ac:dyDescent="0.25">
      <c r="A22" s="2"/>
    </row>
    <row r="23" spans="1:5" x14ac:dyDescent="0.25">
      <c r="A23" s="2"/>
    </row>
    <row r="24" spans="1:5" x14ac:dyDescent="0.25">
      <c r="A24" s="2"/>
      <c r="C24" s="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23AF-8C9D-4892-81F1-94FE527626F1}">
  <sheetPr codeName="Sheet4"/>
  <dimension ref="A1:B4"/>
  <sheetViews>
    <sheetView workbookViewId="0">
      <selection activeCell="H33" sqref="H33"/>
    </sheetView>
  </sheetViews>
  <sheetFormatPr defaultRowHeight="15" x14ac:dyDescent="0.25"/>
  <sheetData>
    <row r="1" spans="1:2" x14ac:dyDescent="0.25">
      <c r="A1">
        <v>0</v>
      </c>
      <c r="B1">
        <v>-459.67</v>
      </c>
    </row>
    <row r="2" spans="1:2" x14ac:dyDescent="0.25">
      <c r="A2">
        <v>1</v>
      </c>
      <c r="B2">
        <v>1</v>
      </c>
    </row>
    <row r="3" spans="1:2" x14ac:dyDescent="0.25">
      <c r="A3">
        <v>2</v>
      </c>
      <c r="B3">
        <v>461.67</v>
      </c>
    </row>
    <row r="4" spans="1:2" x14ac:dyDescent="0.25">
      <c r="A4">
        <v>3</v>
      </c>
      <c r="B4">
        <v>922.34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HOW TO</vt:lpstr>
      <vt:lpstr>INSTANCE</vt:lpstr>
      <vt:lpstr>TYPE</vt:lpstr>
      <vt:lpstr>INPUT</vt:lpstr>
      <vt:lpstr>TEMPERATURE FORMULA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Chung</dc:creator>
  <cp:lastModifiedBy>Richard Chung</cp:lastModifiedBy>
  <dcterms:created xsi:type="dcterms:W3CDTF">2021-07-22T17:51:45Z</dcterms:created>
  <dcterms:modified xsi:type="dcterms:W3CDTF">2021-08-30T19:57:18Z</dcterms:modified>
</cp:coreProperties>
</file>