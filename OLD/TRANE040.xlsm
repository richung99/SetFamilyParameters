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RIchardC\Documents\Personal Projects\Dynamo Scripts\SetFamilyParameters\OLD\"/>
    </mc:Choice>
  </mc:AlternateContent>
  <xr:revisionPtr revIDLastSave="0" documentId="13_ncr:1_{50DD645A-3E1D-4ED7-8149-F6AFFAD2777B}" xr6:coauthVersionLast="47" xr6:coauthVersionMax="47" xr10:uidLastSave="{00000000-0000-0000-0000-000000000000}"/>
  <bookViews>
    <workbookView xWindow="-120" yWindow="-120" windowWidth="38640" windowHeight="15840" activeTab="2" xr2:uid="{6C3D12CF-D6EA-4670-9D98-08B849B71BE0}"/>
  </bookViews>
  <sheets>
    <sheet name="HOW TO" sheetId="6" r:id="rId1"/>
    <sheet name="INSTANCE" sheetId="1" r:id="rId2"/>
    <sheet name="TYPE" sheetId="4" r:id="rId3"/>
    <sheet name="INPUT" sheetId="3" r:id="rId4"/>
    <sheet name="TEMPERATURE FORMULA" sheetId="5" r:id="rId5"/>
  </sheets>
  <definedNames>
    <definedName name="_xlnm._FilterDatabase" localSheetId="1" hidden="1">INSTANCE!$A$1:$C$84</definedName>
    <definedName name="_xlnm._FilterDatabase" localSheetId="2" hidden="1">TYPE!$A$1:$C$114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 i="3" l="1"/>
  <c r="A2" i="3" s="1" a="1"/>
  <c r="A2" i="3" s="1"/>
  <c r="A1" i="3" a="1"/>
  <c r="A1" i="3" s="1"/>
  <c r="E4" i="3"/>
  <c r="E5" i="3"/>
  <c r="E6" i="3"/>
  <c r="E7" i="3"/>
  <c r="E8" i="3"/>
  <c r="E9" i="3"/>
  <c r="E10" i="3"/>
  <c r="E11" i="3"/>
  <c r="E12" i="3"/>
  <c r="E13" i="3"/>
  <c r="E14" i="3"/>
  <c r="E15" i="3"/>
  <c r="E16" i="3"/>
  <c r="E17" i="3"/>
  <c r="E3" i="3"/>
  <c r="D18" i="3"/>
  <c r="D4" i="3"/>
  <c r="D5" i="3"/>
  <c r="D6" i="3"/>
  <c r="D7" i="3"/>
  <c r="D8" i="3"/>
  <c r="D9" i="3"/>
  <c r="D10" i="3"/>
  <c r="D11" i="3"/>
  <c r="D12" i="3"/>
  <c r="D13" i="3"/>
  <c r="D14" i="3"/>
  <c r="D15" i="3"/>
  <c r="D16" i="3"/>
  <c r="D17" i="3"/>
  <c r="D3"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<sst xmlns="http://schemas.openxmlformats.org/spreadsheetml/2006/main" count="265" uniqueCount="209">
  <si>
    <t>Design ER Winter Exhaust Entering Air DB Temperature</t>
  </si>
  <si>
    <t>Design ER Summer Supply Leaving Air WB Temperature</t>
  </si>
  <si>
    <t>Design ER Winter Supply Leaving Air DB Temperature</t>
  </si>
  <si>
    <t>Design ER Summer Supply Leaving Air DB Temperature</t>
  </si>
  <si>
    <t>Design ER Winter Supply Entering Air DB Temperature</t>
  </si>
  <si>
    <t>Design ER Winter Supply Entering Air WB Temperature</t>
  </si>
  <si>
    <t>Design ER Summer Supply Entering Air DB Temperature</t>
  </si>
  <si>
    <t>Design ER Winter Exhaust Leaving Air DB Temperature</t>
  </si>
  <si>
    <t>Design ER Summer Exhaust Leaving Air WB Temperature</t>
  </si>
  <si>
    <t>Design ER Winter Exhaust Entering Air WB Temperature</t>
  </si>
  <si>
    <t>Design ER Winter Supply Leaving Air WB Temperature</t>
  </si>
  <si>
    <t>Design ER Summer Supply Entering Air WB Temperature</t>
  </si>
  <si>
    <t>Design ER Summer Exhaust Entering Air WB Temperature</t>
  </si>
  <si>
    <t>Design ER Winter Exhaust Leaving Air WB Temperature</t>
  </si>
  <si>
    <t>Design ER Summer Exhaust Entering Air DB Temperature</t>
  </si>
  <si>
    <t>Design ER Summer Exhaust Leaving Air DB Temperature</t>
  </si>
  <si>
    <t>PARAM</t>
  </si>
  <si>
    <t>DATE</t>
  </si>
  <si>
    <t>VAL</t>
  </si>
  <si>
    <r>
      <rPr>
        <b/>
        <sz val="14"/>
        <color theme="0"/>
        <rFont val="Calibri"/>
        <family val="2"/>
        <scheme val="minor"/>
      </rPr>
      <t>Sheet Details</t>
    </r>
    <r>
      <rPr>
        <sz val="11"/>
        <color theme="0"/>
        <rFont val="Calibri"/>
        <family val="2"/>
        <scheme val="minor"/>
      </rPr>
      <t xml:space="preserve"> 
This spreadsheet is intended to work in conjunction with two Dynamo scripts (setFamilyParam18.dyn and setFamilyParam18-2.dyn) to mass edit Revit family parameters from Excel.</t>
    </r>
  </si>
  <si>
    <t>INSTANCE</t>
  </si>
  <si>
    <t>TYPE</t>
  </si>
  <si>
    <t>INPUT</t>
  </si>
  <si>
    <t>Populated from setFamilyParam18.dyn. Column A contains type based family parameter names, Column B contains parameter values. Changes made inside of Column B automatically populate the row's Column C cell with the current date to keep track of revision history. Each column contains headers that can be used for sorting or filtering.</t>
  </si>
  <si>
    <t>TEMPERATURE FORMULA</t>
  </si>
  <si>
    <t>Intended for use with setFamilyParam18-2.dyn. Rows 1 and 2 contain input strings for the Code Block inside of Dynamo. These input strings are created from Columns A and B, which should be copied from the INSTANCE and TYPE sheets by the user.</t>
  </si>
  <si>
    <t>Dynamo/Revit uses a convoluted formula in order to obtain temperature from the input value. It is a linear equation based off of an absolute temperature scale.</t>
  </si>
  <si>
    <t>Populated from setFamilyParam18.dyn. Column A contains instance based family parameter names, Column B contains parameter values. Changes made inside of Column B automatically populate the row's Column C cell with the current date to keep track of revision history. Each column contains headers that can be used for sorting or filtering.</t>
  </si>
  <si>
    <t>Minimum Circuit Current</t>
  </si>
  <si>
    <t>Model</t>
  </si>
  <si>
    <t>FLA Motor Option</t>
  </si>
  <si>
    <t>Standard FLA ECM</t>
  </si>
  <si>
    <t>Cost</t>
  </si>
  <si>
    <t>Design Heating Leaving Water Temperature</t>
  </si>
  <si>
    <t>110 °F</t>
  </si>
  <si>
    <t>Heating Entering Fluid Temperature</t>
  </si>
  <si>
    <t>140 °F</t>
  </si>
  <si>
    <t>Cooling Fluid Flow Rate</t>
  </si>
  <si>
    <t>Design Cooling Entering Water Temperature</t>
  </si>
  <si>
    <t>42 °F</t>
  </si>
  <si>
    <t>Maximum Overcurrent Protection</t>
  </si>
  <si>
    <t>15 A</t>
  </si>
  <si>
    <t>Design Heating Total Capacity</t>
  </si>
  <si>
    <t>6.1 Btu/h</t>
  </si>
  <si>
    <t>Design Cooling Water Flow</t>
  </si>
  <si>
    <t>2 GPM</t>
  </si>
  <si>
    <t>Design Supply External Static Pressure</t>
  </si>
  <si>
    <t>0.20 in-wg</t>
  </si>
  <si>
    <t>Overall Height</t>
  </si>
  <si>
    <t>0' - 10"</t>
  </si>
  <si>
    <t>Design Cooling Entering Air DB Temperature</t>
  </si>
  <si>
    <t>75 °F</t>
  </si>
  <si>
    <t>Motor RPM</t>
  </si>
  <si>
    <t>Classification</t>
  </si>
  <si>
    <t>None</t>
  </si>
  <si>
    <t>Heating Fluid Flow Rate</t>
  </si>
  <si>
    <t>Overall Length</t>
  </si>
  <si>
    <t>3' - 2"</t>
  </si>
  <si>
    <t>Motor Type</t>
  </si>
  <si>
    <t>High static ECM</t>
  </si>
  <si>
    <t>Designation</t>
  </si>
  <si>
    <t>FC</t>
  </si>
  <si>
    <t>Design Cooling Leaving Air WB Temperature</t>
  </si>
  <si>
    <t>52 °F</t>
  </si>
  <si>
    <t>Manufacturer</t>
  </si>
  <si>
    <t>TRANE</t>
  </si>
  <si>
    <t>OmniClass Title</t>
  </si>
  <si>
    <t>Climate Control (HVAC)</t>
  </si>
  <si>
    <t>Cooling Entering Dry Bulb Temperature</t>
  </si>
  <si>
    <t>Phase</t>
  </si>
  <si>
    <t>Design Cooling Sensible Capacity</t>
  </si>
  <si>
    <t>Type Comments</t>
  </si>
  <si>
    <t>FCAB0402</t>
  </si>
  <si>
    <t>Design Cooling Water Pressure Drop</t>
  </si>
  <si>
    <t>1.75 psi</t>
  </si>
  <si>
    <t>Design Supply Fan Horsepower</t>
  </si>
  <si>
    <t>97 W</t>
  </si>
  <si>
    <t>Design Cooling Total Capacity</t>
  </si>
  <si>
    <t>7.7 Btu/h</t>
  </si>
  <si>
    <t>Heating Leaving Dry Bulb Temperature</t>
  </si>
  <si>
    <t>92 °F</t>
  </si>
  <si>
    <t>Type Name</t>
  </si>
  <si>
    <t>FCC040</t>
  </si>
  <si>
    <t>Cooling Leaving Wet Bulb Temperature</t>
  </si>
  <si>
    <t>Design Option</t>
  </si>
  <si>
    <t>Specification - Master Spec Number</t>
  </si>
  <si>
    <t>23 82 19</t>
  </si>
  <si>
    <t>Design Supply Air Flow</t>
  </si>
  <si>
    <t>250 CFM</t>
  </si>
  <si>
    <t>TAG</t>
  </si>
  <si>
    <t>Type Mark</t>
  </si>
  <si>
    <t>Cooling Fluid Pressure Drop</t>
  </si>
  <si>
    <t>4.04 in-wg</t>
  </si>
  <si>
    <t>Design Cooling Leaving Air DB Temperature</t>
  </si>
  <si>
    <t>Heating Fluid Pressure Drop</t>
  </si>
  <si>
    <t>0.57 in-wg</t>
  </si>
  <si>
    <t>Operating Weight</t>
  </si>
  <si>
    <t>109.00 lbm</t>
  </si>
  <si>
    <t>Heating Leaving Fluid Temperature</t>
  </si>
  <si>
    <t>Design Cooling Airflow</t>
  </si>
  <si>
    <t>Family Name</t>
  </si>
  <si>
    <t>Trane - FCC040</t>
  </si>
  <si>
    <t>Assembly Code</t>
  </si>
  <si>
    <t>Cooling Leaving Dry Bulb Temperature</t>
  </si>
  <si>
    <t>Literature URL</t>
  </si>
  <si>
    <t>http://www.trane.com/Commercial/LiteratureSearchList.aspx?model=FCA</t>
  </si>
  <si>
    <t>Cooling Leaving Fluid Temperature</t>
  </si>
  <si>
    <t>Sensible Cooling Capacity</t>
  </si>
  <si>
    <t>6 Btu/h</t>
  </si>
  <si>
    <t>Category</t>
  </si>
  <si>
    <t>Mechanical Equipment</t>
  </si>
  <si>
    <t>Motor Power</t>
  </si>
  <si>
    <t>58 Btu/h</t>
  </si>
  <si>
    <t>Design Heating Water Flow</t>
  </si>
  <si>
    <t>0 GPM</t>
  </si>
  <si>
    <t>2rw_Abbrv</t>
  </si>
  <si>
    <t>FCU</t>
  </si>
  <si>
    <t>External Static Pressure</t>
  </si>
  <si>
    <t>OmniClass Number</t>
  </si>
  <si>
    <t>23.75.00.00</t>
  </si>
  <si>
    <t>Product URL</t>
  </si>
  <si>
    <t>http://www.trane.com/COMMERCIAL/DNA/View.aspx?i=1084</t>
  </si>
  <si>
    <t>Design Heating Entering Air DB Temperature</t>
  </si>
  <si>
    <t>70 °F</t>
  </si>
  <si>
    <t>Design Heating Leaving Air DB Temperature</t>
  </si>
  <si>
    <t>Heating Entering Dry Bulb Temperature</t>
  </si>
  <si>
    <t>Cooling Entering Wet Bulb Temperature</t>
  </si>
  <si>
    <t>63 °F</t>
  </si>
  <si>
    <t>Voltage</t>
  </si>
  <si>
    <t>208 V</t>
  </si>
  <si>
    <t>Code Name</t>
  </si>
  <si>
    <t>Shipping Weight</t>
  </si>
  <si>
    <t>96.00 lbm</t>
  </si>
  <si>
    <t>2rw_Type</t>
  </si>
  <si>
    <t>Design Heating Entering Water Temperature</t>
  </si>
  <si>
    <t>Total Heating Capacity</t>
  </si>
  <si>
    <t>Frequency</t>
  </si>
  <si>
    <t>60 Hz</t>
  </si>
  <si>
    <t>Design Cooling Entering Air WB Temperature</t>
  </si>
  <si>
    <t>Cooling Entering Fluid Temperature</t>
  </si>
  <si>
    <t>Total Cooling Capacity</t>
  </si>
  <si>
    <t>8 Btu/h</t>
  </si>
  <si>
    <t>Assembly Description</t>
  </si>
  <si>
    <t>Design Minimum Circuit Amps (MCA)</t>
  </si>
  <si>
    <t>Keynote</t>
  </si>
  <si>
    <t>Overall Width</t>
  </si>
  <si>
    <t>2' - 2"</t>
  </si>
  <si>
    <t>Design Cooling Leaving Water Temperature</t>
  </si>
  <si>
    <t>Manufacturer Model Number</t>
  </si>
  <si>
    <t>FCAB040</t>
  </si>
  <si>
    <t>Motor HP</t>
  </si>
  <si>
    <t>0 Btu/h</t>
  </si>
  <si>
    <t>Specification - Spec Link Number</t>
  </si>
  <si>
    <t>Design Heating Water Pressure Drop</t>
  </si>
  <si>
    <t>0.25 psi</t>
  </si>
  <si>
    <t>Description</t>
  </si>
  <si>
    <t>Type Image</t>
  </si>
  <si>
    <t>&lt;None&gt;</t>
  </si>
  <si>
    <t>Manufacturer Series Number</t>
  </si>
  <si>
    <t>FCA</t>
  </si>
  <si>
    <t>Design Maximum Overcurrent Protection (MOCP)</t>
  </si>
  <si>
    <t>URL</t>
  </si>
  <si>
    <t>Design Maximum Supply Airflow</t>
  </si>
  <si>
    <t>Design Maximum Weight</t>
  </si>
  <si>
    <t>109.00 lbf</t>
  </si>
  <si>
    <t/>
  </si>
  <si>
    <t>Host</t>
  </si>
  <si>
    <t>Level</t>
  </si>
  <si>
    <t>Phase Created</t>
  </si>
  <si>
    <t>New Construction</t>
  </si>
  <si>
    <t>Image</t>
  </si>
  <si>
    <t>Level 1</t>
  </si>
  <si>
    <t>2rw_Instance</t>
  </si>
  <si>
    <t>Type</t>
  </si>
  <si>
    <t>Mounting Type</t>
  </si>
  <si>
    <t>-1</t>
  </si>
  <si>
    <t>Type Id</t>
  </si>
  <si>
    <t>977314</t>
  </si>
  <si>
    <t>Specification - UFGS Number</t>
  </si>
  <si>
    <t>System Classification</t>
  </si>
  <si>
    <t>Supply Air,Hydronic Supply,Hydronic Return,Hydronic Supply,Hydronic Return,Power</t>
  </si>
  <si>
    <t>Notes</t>
  </si>
  <si>
    <t>Volume</t>
  </si>
  <si>
    <t>24.19 CF</t>
  </si>
  <si>
    <t>Phase Demolished</t>
  </si>
  <si>
    <t>Host Id</t>
  </si>
  <si>
    <t>Area</t>
  </si>
  <si>
    <t>47 SF</t>
  </si>
  <si>
    <t>Service</t>
  </si>
  <si>
    <t>Connection Heating Inlet Pipe Diameter</t>
  </si>
  <si>
    <t>0"</t>
  </si>
  <si>
    <t>Comments</t>
  </si>
  <si>
    <t>Family</t>
  </si>
  <si>
    <t>Connection Cooling Inlet Pipe Diameter</t>
  </si>
  <si>
    <t>Panel</t>
  </si>
  <si>
    <t>Mark</t>
  </si>
  <si>
    <t>12</t>
  </si>
  <si>
    <t>Family and Type</t>
  </si>
  <si>
    <t>Trane - FCC040: FCC040</t>
  </si>
  <si>
    <t>Offset</t>
  </si>
  <si>
    <t>0' - 0"</t>
  </si>
  <si>
    <t>Design Heating Airflow</t>
  </si>
  <si>
    <t>0 CFM</t>
  </si>
  <si>
    <t>Equipment Type</t>
  </si>
  <si>
    <t>Equipment Location</t>
  </si>
  <si>
    <t>System Name</t>
  </si>
  <si>
    <t>Configuration</t>
  </si>
  <si>
    <t>Circuit Number</t>
  </si>
  <si>
    <t>Design Minimum Supply Airflow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</si>
</sst>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4"/>
      <color theme="0"/>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1" tint="0.14999847407452621"/>
        <bgColor indexed="64"/>
      </patternFill>
    </fill>
    <fill>
      <patternFill patternType="solid">
        <fgColor theme="1" tint="0.34998626667073579"/>
        <bgColor indexed="64"/>
      </patternFill>
    </fill>
  </fills>
  <borders count="3">
    <border>
      <left/>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12">
    <xf numFmtId="0" fontId="0" fillId="0" borderId="0" xfId="0"/>
    <xf numFmtId="18" fontId="0" fillId="0" borderId="0" xfId="0" applyNumberFormat="1"/>
    <xf numFmtId="49" fontId="0" fillId="0" borderId="0" xfId="0" applyNumberFormat="1"/>
    <xf numFmtId="49" fontId="0" fillId="0" borderId="0" xfId="0" applyNumberFormat="1" applyAlignment="1">
      <alignment wrapText="1"/>
    </xf>
    <xf numFmtId="14" fontId="0" fillId="0" borderId="0" xfId="0" applyNumberFormat="1"/>
    <xf numFmtId="0" fontId="1" fillId="4" borderId="2"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1" fillId="4" borderId="1" xfId="0" applyFont="1" applyFill="1" applyBorder="1" applyAlignment="1">
      <alignment horizontal="left" vertical="center" wrapText="1" indent="1"/>
    </xf>
    <xf numFmtId="0" fontId="1" fillId="2" borderId="1" xfId="0" applyFont="1" applyFill="1" applyBorder="1" applyAlignment="1">
      <alignment horizontal="left" vertical="center" wrapText="1" indent="1"/>
    </xf>
    <xf numFmtId="0" fontId="1" fillId="3" borderId="1" xfId="0" applyFont="1" applyFill="1" applyBorder="1" applyAlignment="1">
      <alignment horizontal="left" wrapText="1"/>
    </xf>
    <xf numFmtId="0" fontId="1" fillId="3" borderId="2" xfId="0" applyFont="1" applyFill="1" applyBorder="1" applyAlignment="1">
      <alignment horizontal="left" wrapText="1"/>
    </xf>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4.5829177602799649E-2"/>
                  <c:y val="0"/>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'TEMPERATURE FORMULA'!$A$1:$A$4</c:f>
              <c:numCache>
                <c:formatCode>General</c:formatCode>
                <c:ptCount val="4"/>
                <c:pt idx="0">
                  <c:v>0</c:v>
                </c:pt>
                <c:pt idx="1">
                  <c:v>1</c:v>
                </c:pt>
                <c:pt idx="2">
                  <c:v>2</c:v>
                </c:pt>
                <c:pt idx="3">
                  <c:v>3</c:v>
                </c:pt>
              </c:numCache>
            </c:numRef>
          </c:xVal>
          <c:yVal>
            <c:numRef>
              <c:f>'TEMPERATURE FORMULA'!$B$1:$B$4</c:f>
              <c:numCache>
                <c:formatCode>General</c:formatCode>
                <c:ptCount val="4"/>
                <c:pt idx="0">
                  <c:v>-459.67</c:v>
                </c:pt>
                <c:pt idx="1">
                  <c:v>1</c:v>
                </c:pt>
                <c:pt idx="2">
                  <c:v>461.67</c:v>
                </c:pt>
                <c:pt idx="3">
                  <c:v>922.34</c:v>
                </c:pt>
              </c:numCache>
            </c:numRef>
          </c:yVal>
          <c:smooth val="0"/>
          <c:extLst>
            <c:ext xmlns:c16="http://schemas.microsoft.com/office/drawing/2014/chart" uri="{C3380CC4-5D6E-409C-BE32-E72D297353CC}">
              <c16:uniqueId val="{00000000-399C-49DE-8CAC-77AF72A0B201}"/>
            </c:ext>
          </c:extLst>
        </c:ser>
        <c:dLbls>
          <c:showLegendKey val="0"/>
          <c:showVal val="0"/>
          <c:showCatName val="0"/>
          <c:showSerName val="0"/>
          <c:showPercent val="0"/>
          <c:showBubbleSize val="0"/>
        </c:dLbls>
        <c:axId val="1011112288"/>
        <c:axId val="1692899696"/>
      </c:scatterChart>
      <c:valAx>
        <c:axId val="1011112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2899696"/>
        <c:crosses val="autoZero"/>
        <c:crossBetween val="midCat"/>
      </c:valAx>
      <c:valAx>
        <c:axId val="1692899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112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571500</xdr:colOff>
      <xdr:row>3</xdr:row>
      <xdr:rowOff>119062</xdr:rowOff>
    </xdr:from>
    <xdr:to>
      <xdr:col>10</xdr:col>
      <xdr:colOff>266700</xdr:colOff>
      <xdr:row>18</xdr:row>
      <xdr:rowOff>4762</xdr:rowOff>
    </xdr:to>
    <xdr:graphicFrame macro="">
      <xdr:nvGraphicFramePr>
        <xdr:cNvPr id="2" name="Chart 1">
          <a:extLst>
            <a:ext uri="{FF2B5EF4-FFF2-40B4-BE49-F238E27FC236}">
              <a16:creationId xmlns:a16="http://schemas.microsoft.com/office/drawing/2014/main" id="{8A3CD6CC-6183-4265-B96A-1D42562951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15681-7D4B-4DB7-B6CB-827A374EA795}">
  <dimension ref="A1:B5"/>
  <sheetViews>
    <sheetView workbookViewId="0">
      <selection activeCell="B4" sqref="B4"/>
    </sheetView>
  </sheetViews>
  <sheetFormatPr defaultRowHeight="15" x14ac:dyDescent="0.25"/>
  <cols>
    <col min="1" max="1" width="32" customWidth="1"/>
    <col min="2" max="2" width="88.42578125" customWidth="1"/>
  </cols>
  <sheetData>
    <row r="1" spans="1:2" ht="60" customHeight="1" x14ac:dyDescent="0.25">
      <c r="A1" s="9" t="s">
        <v>19</v>
      </c>
      <c r="B1" s="10"/>
    </row>
    <row r="2" spans="1:2" ht="67.5" customHeight="1" x14ac:dyDescent="0.25">
      <c r="A2" s="7" t="s">
        <v>20</v>
      </c>
      <c r="B2" s="5" t="s">
        <v>27</v>
      </c>
    </row>
    <row r="3" spans="1:2" ht="75" customHeight="1" x14ac:dyDescent="0.25">
      <c r="A3" s="8" t="s">
        <v>21</v>
      </c>
      <c r="B3" s="6" t="s">
        <v>23</v>
      </c>
    </row>
    <row r="4" spans="1:2" ht="54.75" customHeight="1" x14ac:dyDescent="0.25">
      <c r="A4" s="7" t="s">
        <v>22</v>
      </c>
      <c r="B4" s="5" t="s">
        <v>25</v>
      </c>
    </row>
    <row r="5" spans="1:2" ht="45.75" customHeight="1" x14ac:dyDescent="0.25">
      <c r="A5" s="8" t="s">
        <v>24</v>
      </c>
      <c r="B5" s="6" t="s">
        <v>26</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56E61-2E2C-47C4-8C2E-4966BFACACF8}">
  <sheetPr codeName="Sheet1"/>
  <dimension ref="A1:C84"/>
  <sheetViews>
    <sheetView workbookViewId="0">
      <selection activeCell="A11" sqref="A11"/>
    </sheetView>
  </sheetViews>
  <sheetFormatPr defaultRowHeight="15" x14ac:dyDescent="0.25"/>
  <cols>
    <col min="1" max="1" width="45.5703125" style="2" bestFit="1" customWidth="1"/>
    <col min="2" max="2" width="9.140625" style="2"/>
  </cols>
  <sheetData>
    <row r="1" spans="1:3" x14ac:dyDescent="0.25">
      <c r="A1" s="2" t="s">
        <v>16</v>
      </c>
      <c r="B1" s="2" t="s">
        <v>18</v>
      </c>
      <c r="C1" s="4" t="s">
        <v>17</v>
      </c>
    </row>
    <row r="2" spans="1:3" x14ac:dyDescent="0.25">
      <c r="A2" s="2" t="s">
        <v>172</v>
      </c>
      <c r="B2" s="2" t="s">
        <v>165</v>
      </c>
    </row>
    <row r="3" spans="1:3" x14ac:dyDescent="0.25">
      <c r="A3" s="2" t="s">
        <v>186</v>
      </c>
      <c r="B3" s="2" t="s">
        <v>187</v>
      </c>
    </row>
    <row r="4" spans="1:3" x14ac:dyDescent="0.25">
      <c r="A4" s="2" t="s">
        <v>109</v>
      </c>
      <c r="B4" s="2" t="s">
        <v>110</v>
      </c>
    </row>
    <row r="5" spans="1:3" x14ac:dyDescent="0.25">
      <c r="A5" s="2" t="s">
        <v>109</v>
      </c>
      <c r="B5" s="2" t="s">
        <v>110</v>
      </c>
    </row>
    <row r="6" spans="1:3" x14ac:dyDescent="0.25">
      <c r="A6" s="2" t="s">
        <v>207</v>
      </c>
      <c r="B6" s="2" t="s">
        <v>165</v>
      </c>
    </row>
    <row r="7" spans="1:3" x14ac:dyDescent="0.25">
      <c r="A7" s="2" t="s">
        <v>191</v>
      </c>
      <c r="B7" s="2" t="s">
        <v>165</v>
      </c>
    </row>
    <row r="8" spans="1:3" x14ac:dyDescent="0.25">
      <c r="A8" s="2" t="s">
        <v>206</v>
      </c>
      <c r="B8" s="2" t="s">
        <v>165</v>
      </c>
    </row>
    <row r="9" spans="1:3" x14ac:dyDescent="0.25">
      <c r="A9" s="2" t="s">
        <v>193</v>
      </c>
      <c r="B9" s="2" t="s">
        <v>190</v>
      </c>
    </row>
    <row r="10" spans="1:3" x14ac:dyDescent="0.25">
      <c r="A10" s="2" t="s">
        <v>189</v>
      </c>
      <c r="B10" s="2" t="s">
        <v>190</v>
      </c>
    </row>
    <row r="11" spans="1:3" x14ac:dyDescent="0.25">
      <c r="A11" s="2" t="s">
        <v>201</v>
      </c>
      <c r="B11" s="2" t="s">
        <v>202</v>
      </c>
    </row>
    <row r="12" spans="1:3" x14ac:dyDescent="0.25">
      <c r="A12" s="2" t="s">
        <v>208</v>
      </c>
      <c r="B12" s="2" t="s">
        <v>202</v>
      </c>
    </row>
    <row r="13" spans="1:3" x14ac:dyDescent="0.25">
      <c r="A13" s="2" t="s">
        <v>84</v>
      </c>
      <c r="B13" s="2" t="s">
        <v>175</v>
      </c>
    </row>
    <row r="14" spans="1:3" x14ac:dyDescent="0.25">
      <c r="A14" s="2" t="s">
        <v>204</v>
      </c>
      <c r="B14" s="2" t="s">
        <v>165</v>
      </c>
    </row>
    <row r="15" spans="1:3" x14ac:dyDescent="0.25">
      <c r="A15" s="2" t="s">
        <v>203</v>
      </c>
      <c r="B15" s="2" t="s">
        <v>165</v>
      </c>
    </row>
    <row r="16" spans="1:3" x14ac:dyDescent="0.25">
      <c r="A16" s="2" t="s">
        <v>192</v>
      </c>
      <c r="B16" s="2" t="s">
        <v>101</v>
      </c>
    </row>
    <row r="17" spans="1:3" x14ac:dyDescent="0.25">
      <c r="A17" s="2" t="s">
        <v>197</v>
      </c>
      <c r="B17" s="2" t="s">
        <v>198</v>
      </c>
    </row>
    <row r="18" spans="1:3" x14ac:dyDescent="0.25">
      <c r="A18" s="2" t="s">
        <v>100</v>
      </c>
      <c r="B18" s="2" t="s">
        <v>165</v>
      </c>
      <c r="C18" s="4">
        <v>44438</v>
      </c>
    </row>
    <row r="19" spans="1:3" x14ac:dyDescent="0.25">
      <c r="A19" s="2" t="s">
        <v>166</v>
      </c>
      <c r="B19" s="2" t="s">
        <v>167</v>
      </c>
    </row>
    <row r="20" spans="1:3" x14ac:dyDescent="0.25">
      <c r="A20" s="2" t="s">
        <v>185</v>
      </c>
      <c r="B20" s="2" t="s">
        <v>175</v>
      </c>
      <c r="C20" s="1"/>
    </row>
    <row r="21" spans="1:3" x14ac:dyDescent="0.25">
      <c r="A21" s="2" t="s">
        <v>170</v>
      </c>
      <c r="B21" s="2" t="s">
        <v>157</v>
      </c>
    </row>
    <row r="22" spans="1:3" x14ac:dyDescent="0.25">
      <c r="A22" s="2" t="s">
        <v>167</v>
      </c>
      <c r="B22" s="2" t="s">
        <v>171</v>
      </c>
    </row>
    <row r="23" spans="1:3" x14ac:dyDescent="0.25">
      <c r="A23" s="2" t="s">
        <v>167</v>
      </c>
      <c r="B23" s="2" t="s">
        <v>171</v>
      </c>
    </row>
    <row r="24" spans="1:3" x14ac:dyDescent="0.25">
      <c r="A24" s="2" t="s">
        <v>195</v>
      </c>
      <c r="B24" s="2" t="s">
        <v>196</v>
      </c>
    </row>
    <row r="25" spans="1:3" x14ac:dyDescent="0.25">
      <c r="A25" s="2" t="s">
        <v>174</v>
      </c>
      <c r="B25" s="2" t="s">
        <v>165</v>
      </c>
    </row>
    <row r="26" spans="1:3" x14ac:dyDescent="0.25">
      <c r="A26" s="2" t="s">
        <v>181</v>
      </c>
      <c r="B26" s="2" t="s">
        <v>165</v>
      </c>
    </row>
    <row r="27" spans="1:3" x14ac:dyDescent="0.25">
      <c r="A27" s="2" t="s">
        <v>199</v>
      </c>
      <c r="B27" s="2" t="s">
        <v>200</v>
      </c>
    </row>
    <row r="28" spans="1:3" x14ac:dyDescent="0.25">
      <c r="A28" s="2" t="s">
        <v>194</v>
      </c>
      <c r="B28" s="2" t="s">
        <v>165</v>
      </c>
    </row>
    <row r="29" spans="1:3" x14ac:dyDescent="0.25">
      <c r="A29" s="2" t="s">
        <v>168</v>
      </c>
      <c r="B29" s="2" t="s">
        <v>169</v>
      </c>
    </row>
    <row r="30" spans="1:3" x14ac:dyDescent="0.25">
      <c r="A30" s="2" t="s">
        <v>184</v>
      </c>
      <c r="B30" s="2" t="s">
        <v>54</v>
      </c>
    </row>
    <row r="31" spans="1:3" x14ac:dyDescent="0.25">
      <c r="A31" s="2" t="s">
        <v>188</v>
      </c>
      <c r="B31" s="2" t="s">
        <v>165</v>
      </c>
    </row>
    <row r="32" spans="1:3" x14ac:dyDescent="0.25">
      <c r="A32" s="2" t="s">
        <v>178</v>
      </c>
      <c r="B32" s="2" t="s">
        <v>165</v>
      </c>
    </row>
    <row r="33" spans="1:3" x14ac:dyDescent="0.25">
      <c r="A33" s="2" t="s">
        <v>179</v>
      </c>
      <c r="B33" s="2" t="s">
        <v>180</v>
      </c>
      <c r="C33" s="4"/>
    </row>
    <row r="34" spans="1:3" x14ac:dyDescent="0.25">
      <c r="A34" s="2" t="s">
        <v>205</v>
      </c>
      <c r="B34" s="2" t="s">
        <v>165</v>
      </c>
    </row>
    <row r="35" spans="1:3" x14ac:dyDescent="0.25">
      <c r="A35" s="2" t="s">
        <v>173</v>
      </c>
      <c r="B35" s="2" t="s">
        <v>82</v>
      </c>
    </row>
    <row r="36" spans="1:3" x14ac:dyDescent="0.25">
      <c r="A36" s="2" t="s">
        <v>176</v>
      </c>
      <c r="B36" s="2" t="s">
        <v>177</v>
      </c>
    </row>
    <row r="37" spans="1:3" x14ac:dyDescent="0.25">
      <c r="A37" s="2" t="s">
        <v>81</v>
      </c>
      <c r="B37" s="2" t="s">
        <v>165</v>
      </c>
    </row>
    <row r="38" spans="1:3" x14ac:dyDescent="0.25">
      <c r="A38" s="2" t="s">
        <v>182</v>
      </c>
      <c r="B38" s="2" t="s">
        <v>183</v>
      </c>
    </row>
    <row r="41" spans="1:3" x14ac:dyDescent="0.25">
      <c r="C41" s="4"/>
    </row>
    <row r="52" spans="3:3" x14ac:dyDescent="0.25">
      <c r="C52" s="4"/>
    </row>
    <row r="56" spans="3:3" x14ac:dyDescent="0.25">
      <c r="C56" s="4"/>
    </row>
    <row r="71" spans="2:2" x14ac:dyDescent="0.25">
      <c r="B71" s="3"/>
    </row>
    <row r="84" spans="2:2" x14ac:dyDescent="0.25">
      <c r="B84" s="3"/>
    </row>
  </sheetData>
  <autoFilter ref="A1:C84" xr:uid="{6C456E61-2E2C-47C4-8C2E-4966BFACACF8}">
    <sortState xmlns:xlrd2="http://schemas.microsoft.com/office/spreadsheetml/2017/richdata2" ref="A2:C84">
      <sortCondition ref="A1:A84"/>
    </sortState>
  </autoFilter>
  <sortState xmlns:xlrd2="http://schemas.microsoft.com/office/spreadsheetml/2017/richdata2" ref="A2:C59">
    <sortCondition ref="A2:A59"/>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E5A6-ACD6-46A7-BADE-745CABFBA12A}">
  <sheetPr codeName="Sheet2"/>
  <dimension ref="A1:C100"/>
  <sheetViews>
    <sheetView tabSelected="1" topLeftCell="A46" workbookViewId="0">
      <selection activeCell="B41" sqref="B41"/>
    </sheetView>
  </sheetViews>
  <sheetFormatPr defaultRowHeight="15" x14ac:dyDescent="0.25"/>
  <cols>
    <col min="1" max="1" width="52.42578125" bestFit="1" customWidth="1"/>
  </cols>
  <sheetData>
    <row r="1" spans="1:3" x14ac:dyDescent="0.25">
      <c r="A1" t="s">
        <v>16</v>
      </c>
      <c r="B1" t="s">
        <v>18</v>
      </c>
      <c r="C1" s="4" t="s">
        <v>17</v>
      </c>
    </row>
    <row r="2" spans="1:3" x14ac:dyDescent="0.25">
      <c r="A2" t="s">
        <v>115</v>
      </c>
      <c r="B2" t="s">
        <v>116</v>
      </c>
    </row>
    <row r="3" spans="1:3" x14ac:dyDescent="0.25">
      <c r="A3" t="s">
        <v>133</v>
      </c>
      <c r="B3">
        <v>40</v>
      </c>
    </row>
    <row r="4" spans="1:3" x14ac:dyDescent="0.25">
      <c r="A4" t="s">
        <v>102</v>
      </c>
    </row>
    <row r="5" spans="1:3" x14ac:dyDescent="0.25">
      <c r="A5" t="s">
        <v>142</v>
      </c>
    </row>
    <row r="6" spans="1:3" x14ac:dyDescent="0.25">
      <c r="A6" t="s">
        <v>109</v>
      </c>
      <c r="B6" t="s">
        <v>110</v>
      </c>
    </row>
    <row r="7" spans="1:3" x14ac:dyDescent="0.25">
      <c r="A7" t="s">
        <v>109</v>
      </c>
      <c r="B7" t="s">
        <v>110</v>
      </c>
    </row>
    <row r="8" spans="1:3" x14ac:dyDescent="0.25">
      <c r="A8" t="s">
        <v>53</v>
      </c>
      <c r="B8" s="1" t="s">
        <v>54</v>
      </c>
    </row>
    <row r="9" spans="1:3" x14ac:dyDescent="0.25">
      <c r="A9" t="s">
        <v>130</v>
      </c>
    </row>
    <row r="10" spans="1:3" x14ac:dyDescent="0.25">
      <c r="A10" t="s">
        <v>68</v>
      </c>
      <c r="B10" t="s">
        <v>51</v>
      </c>
    </row>
    <row r="11" spans="1:3" x14ac:dyDescent="0.25">
      <c r="A11" t="s">
        <v>139</v>
      </c>
      <c r="B11" t="s">
        <v>39</v>
      </c>
    </row>
    <row r="12" spans="1:3" x14ac:dyDescent="0.25">
      <c r="A12" t="s">
        <v>126</v>
      </c>
      <c r="B12" t="s">
        <v>127</v>
      </c>
    </row>
    <row r="13" spans="1:3" x14ac:dyDescent="0.25">
      <c r="A13" t="s">
        <v>37</v>
      </c>
      <c r="B13">
        <v>1.54</v>
      </c>
    </row>
    <row r="14" spans="1:3" x14ac:dyDescent="0.25">
      <c r="A14" t="s">
        <v>91</v>
      </c>
      <c r="B14" t="s">
        <v>92</v>
      </c>
    </row>
    <row r="15" spans="1:3" x14ac:dyDescent="0.25">
      <c r="A15" t="s">
        <v>103</v>
      </c>
      <c r="B15" t="s">
        <v>63</v>
      </c>
    </row>
    <row r="16" spans="1:3" x14ac:dyDescent="0.25">
      <c r="A16" t="s">
        <v>106</v>
      </c>
      <c r="B16" t="s">
        <v>63</v>
      </c>
    </row>
    <row r="17" spans="1:2" x14ac:dyDescent="0.25">
      <c r="A17" t="s">
        <v>83</v>
      </c>
      <c r="B17" t="s">
        <v>63</v>
      </c>
    </row>
    <row r="18" spans="1:2" x14ac:dyDescent="0.25">
      <c r="A18" t="s">
        <v>32</v>
      </c>
      <c r="B18">
        <v>0</v>
      </c>
    </row>
    <row r="19" spans="1:2" x14ac:dyDescent="0.25">
      <c r="A19" t="s">
        <v>155</v>
      </c>
    </row>
    <row r="20" spans="1:2" x14ac:dyDescent="0.25">
      <c r="A20" t="s">
        <v>99</v>
      </c>
      <c r="B20" t="s">
        <v>88</v>
      </c>
    </row>
    <row r="21" spans="1:2" x14ac:dyDescent="0.25">
      <c r="A21" t="s">
        <v>50</v>
      </c>
      <c r="B21" t="s">
        <v>51</v>
      </c>
    </row>
    <row r="22" spans="1:2" x14ac:dyDescent="0.25">
      <c r="A22" t="s">
        <v>138</v>
      </c>
      <c r="B22" t="s">
        <v>127</v>
      </c>
    </row>
    <row r="23" spans="1:2" x14ac:dyDescent="0.25">
      <c r="A23" t="s">
        <v>38</v>
      </c>
      <c r="B23" s="1" t="s">
        <v>39</v>
      </c>
    </row>
    <row r="24" spans="1:2" x14ac:dyDescent="0.25">
      <c r="A24" t="s">
        <v>93</v>
      </c>
      <c r="B24" t="s">
        <v>63</v>
      </c>
    </row>
    <row r="25" spans="1:2" x14ac:dyDescent="0.25">
      <c r="A25" t="s">
        <v>62</v>
      </c>
      <c r="B25" t="s">
        <v>63</v>
      </c>
    </row>
    <row r="26" spans="1:2" x14ac:dyDescent="0.25">
      <c r="A26" t="s">
        <v>147</v>
      </c>
      <c r="B26" t="s">
        <v>63</v>
      </c>
    </row>
    <row r="27" spans="1:2" x14ac:dyDescent="0.25">
      <c r="A27" t="s">
        <v>70</v>
      </c>
      <c r="B27" s="1" t="s">
        <v>43</v>
      </c>
    </row>
    <row r="28" spans="1:2" x14ac:dyDescent="0.25">
      <c r="A28" t="s">
        <v>77</v>
      </c>
      <c r="B28" t="s">
        <v>78</v>
      </c>
    </row>
    <row r="29" spans="1:2" x14ac:dyDescent="0.25">
      <c r="A29" t="s">
        <v>44</v>
      </c>
      <c r="B29" t="s">
        <v>45</v>
      </c>
    </row>
    <row r="30" spans="1:2" x14ac:dyDescent="0.25">
      <c r="A30" t="s">
        <v>73</v>
      </c>
      <c r="B30" t="s">
        <v>74</v>
      </c>
    </row>
    <row r="31" spans="1:2" x14ac:dyDescent="0.25">
      <c r="A31" t="s">
        <v>122</v>
      </c>
      <c r="B31" t="s">
        <v>123</v>
      </c>
    </row>
    <row r="32" spans="1:2" x14ac:dyDescent="0.25">
      <c r="A32" t="s">
        <v>134</v>
      </c>
      <c r="B32" t="s">
        <v>36</v>
      </c>
    </row>
    <row r="33" spans="1:2" x14ac:dyDescent="0.25">
      <c r="A33" t="s">
        <v>124</v>
      </c>
      <c r="B33" t="s">
        <v>80</v>
      </c>
    </row>
    <row r="34" spans="1:2" x14ac:dyDescent="0.25">
      <c r="A34" t="s">
        <v>33</v>
      </c>
      <c r="B34" t="s">
        <v>34</v>
      </c>
    </row>
    <row r="35" spans="1:2" x14ac:dyDescent="0.25">
      <c r="A35" t="s">
        <v>42</v>
      </c>
      <c r="B35" t="s">
        <v>43</v>
      </c>
    </row>
    <row r="36" spans="1:2" x14ac:dyDescent="0.25">
      <c r="A36" t="s">
        <v>113</v>
      </c>
      <c r="B36" t="s">
        <v>114</v>
      </c>
    </row>
    <row r="37" spans="1:2" x14ac:dyDescent="0.25">
      <c r="A37" t="s">
        <v>153</v>
      </c>
      <c r="B37" t="s">
        <v>154</v>
      </c>
    </row>
    <row r="38" spans="1:2" x14ac:dyDescent="0.25">
      <c r="A38" t="s">
        <v>160</v>
      </c>
      <c r="B38" s="1" t="s">
        <v>41</v>
      </c>
    </row>
    <row r="39" spans="1:2" x14ac:dyDescent="0.25">
      <c r="A39" t="s">
        <v>162</v>
      </c>
      <c r="B39" t="s">
        <v>88</v>
      </c>
    </row>
    <row r="40" spans="1:2" x14ac:dyDescent="0.25">
      <c r="A40" t="s">
        <v>163</v>
      </c>
      <c r="B40" t="s">
        <v>164</v>
      </c>
    </row>
    <row r="41" spans="1:2" x14ac:dyDescent="0.25">
      <c r="A41" t="s">
        <v>143</v>
      </c>
      <c r="B41" s="11">
        <v>8.3333333333333329E-2</v>
      </c>
    </row>
    <row r="42" spans="1:2" x14ac:dyDescent="0.25">
      <c r="A42" t="s">
        <v>84</v>
      </c>
      <c r="B42">
        <v>-1</v>
      </c>
    </row>
    <row r="43" spans="1:2" x14ac:dyDescent="0.25">
      <c r="A43" t="s">
        <v>87</v>
      </c>
      <c r="B43" t="s">
        <v>88</v>
      </c>
    </row>
    <row r="44" spans="1:2" x14ac:dyDescent="0.25">
      <c r="A44" t="s">
        <v>46</v>
      </c>
      <c r="B44" t="s">
        <v>47</v>
      </c>
    </row>
    <row r="45" spans="1:2" x14ac:dyDescent="0.25">
      <c r="A45" t="s">
        <v>75</v>
      </c>
      <c r="B45" t="s">
        <v>76</v>
      </c>
    </row>
    <row r="46" spans="1:2" x14ac:dyDescent="0.25">
      <c r="A46" t="s">
        <v>60</v>
      </c>
      <c r="B46" s="1" t="s">
        <v>61</v>
      </c>
    </row>
    <row r="47" spans="1:2" x14ac:dyDescent="0.25">
      <c r="A47" t="s">
        <v>117</v>
      </c>
      <c r="B47" t="s">
        <v>47</v>
      </c>
    </row>
    <row r="48" spans="1:2" x14ac:dyDescent="0.25">
      <c r="A48" t="s">
        <v>100</v>
      </c>
      <c r="B48" t="s">
        <v>101</v>
      </c>
    </row>
    <row r="49" spans="1:3" x14ac:dyDescent="0.25">
      <c r="A49" t="s">
        <v>30</v>
      </c>
      <c r="B49" t="s">
        <v>31</v>
      </c>
    </row>
    <row r="50" spans="1:3" x14ac:dyDescent="0.25">
      <c r="A50" t="s">
        <v>136</v>
      </c>
      <c r="B50" t="s">
        <v>137</v>
      </c>
    </row>
    <row r="51" spans="1:3" x14ac:dyDescent="0.25">
      <c r="A51" t="s">
        <v>125</v>
      </c>
      <c r="B51" s="1" t="s">
        <v>123</v>
      </c>
      <c r="C51" s="4">
        <v>44438</v>
      </c>
    </row>
    <row r="52" spans="1:3" x14ac:dyDescent="0.25">
      <c r="A52" t="s">
        <v>35</v>
      </c>
      <c r="B52" t="s">
        <v>36</v>
      </c>
    </row>
    <row r="53" spans="1:3" x14ac:dyDescent="0.25">
      <c r="A53" t="s">
        <v>55</v>
      </c>
      <c r="B53">
        <v>0.41</v>
      </c>
    </row>
    <row r="54" spans="1:3" x14ac:dyDescent="0.25">
      <c r="A54" t="s">
        <v>94</v>
      </c>
      <c r="B54" t="s">
        <v>95</v>
      </c>
      <c r="C54" s="4"/>
    </row>
    <row r="55" spans="1:3" x14ac:dyDescent="0.25">
      <c r="A55" t="s">
        <v>79</v>
      </c>
      <c r="B55" t="s">
        <v>80</v>
      </c>
    </row>
    <row r="56" spans="1:3" x14ac:dyDescent="0.25">
      <c r="A56" t="s">
        <v>98</v>
      </c>
      <c r="B56" t="s">
        <v>34</v>
      </c>
    </row>
    <row r="57" spans="1:3" x14ac:dyDescent="0.25">
      <c r="A57" t="s">
        <v>144</v>
      </c>
    </row>
    <row r="58" spans="1:3" x14ac:dyDescent="0.25">
      <c r="A58" t="s">
        <v>104</v>
      </c>
      <c r="B58" t="s">
        <v>105</v>
      </c>
    </row>
    <row r="59" spans="1:3" x14ac:dyDescent="0.25">
      <c r="A59" t="s">
        <v>64</v>
      </c>
      <c r="B59" t="s">
        <v>65</v>
      </c>
    </row>
    <row r="60" spans="1:3" x14ac:dyDescent="0.25">
      <c r="A60" t="s">
        <v>148</v>
      </c>
      <c r="B60" t="s">
        <v>149</v>
      </c>
    </row>
    <row r="61" spans="1:3" x14ac:dyDescent="0.25">
      <c r="A61" t="s">
        <v>158</v>
      </c>
      <c r="B61" s="1" t="s">
        <v>159</v>
      </c>
    </row>
    <row r="62" spans="1:3" x14ac:dyDescent="0.25">
      <c r="A62" t="s">
        <v>40</v>
      </c>
      <c r="B62" t="s">
        <v>41</v>
      </c>
    </row>
    <row r="63" spans="1:3" x14ac:dyDescent="0.25">
      <c r="A63" t="s">
        <v>28</v>
      </c>
      <c r="B63" s="1">
        <v>8.3333333333333329E-2</v>
      </c>
      <c r="C63" s="4">
        <v>44438</v>
      </c>
    </row>
    <row r="64" spans="1:3" x14ac:dyDescent="0.25">
      <c r="A64" t="s">
        <v>29</v>
      </c>
    </row>
    <row r="65" spans="1:2" x14ac:dyDescent="0.25">
      <c r="A65" t="s">
        <v>29</v>
      </c>
      <c r="B65" t="s">
        <v>72</v>
      </c>
    </row>
    <row r="66" spans="1:2" x14ac:dyDescent="0.25">
      <c r="A66" t="s">
        <v>150</v>
      </c>
      <c r="B66" t="s">
        <v>151</v>
      </c>
    </row>
    <row r="67" spans="1:2" x14ac:dyDescent="0.25">
      <c r="A67" t="s">
        <v>111</v>
      </c>
      <c r="B67" t="s">
        <v>112</v>
      </c>
    </row>
    <row r="68" spans="1:2" x14ac:dyDescent="0.25">
      <c r="A68" t="s">
        <v>52</v>
      </c>
      <c r="B68">
        <v>1</v>
      </c>
    </row>
    <row r="69" spans="1:2" x14ac:dyDescent="0.25">
      <c r="A69" t="s">
        <v>58</v>
      </c>
      <c r="B69" s="1" t="s">
        <v>59</v>
      </c>
    </row>
    <row r="70" spans="1:2" x14ac:dyDescent="0.25">
      <c r="A70" t="s">
        <v>118</v>
      </c>
      <c r="B70" s="1" t="s">
        <v>119</v>
      </c>
    </row>
    <row r="71" spans="1:2" x14ac:dyDescent="0.25">
      <c r="A71" t="s">
        <v>66</v>
      </c>
      <c r="B71" t="s">
        <v>67</v>
      </c>
    </row>
    <row r="72" spans="1:2" x14ac:dyDescent="0.25">
      <c r="A72" t="s">
        <v>96</v>
      </c>
      <c r="B72" t="s">
        <v>97</v>
      </c>
    </row>
    <row r="73" spans="1:2" x14ac:dyDescent="0.25">
      <c r="A73" t="s">
        <v>48</v>
      </c>
      <c r="B73" t="s">
        <v>49</v>
      </c>
    </row>
    <row r="74" spans="1:2" x14ac:dyDescent="0.25">
      <c r="A74" t="s">
        <v>56</v>
      </c>
      <c r="B74" t="s">
        <v>57</v>
      </c>
    </row>
    <row r="75" spans="1:2" x14ac:dyDescent="0.25">
      <c r="A75" s="2" t="s">
        <v>145</v>
      </c>
      <c r="B75" t="s">
        <v>146</v>
      </c>
    </row>
    <row r="76" spans="1:2" x14ac:dyDescent="0.25">
      <c r="A76" t="s">
        <v>69</v>
      </c>
      <c r="B76">
        <v>1</v>
      </c>
    </row>
    <row r="77" spans="1:2" x14ac:dyDescent="0.25">
      <c r="A77" t="s">
        <v>120</v>
      </c>
      <c r="B77" t="s">
        <v>121</v>
      </c>
    </row>
    <row r="78" spans="1:2" x14ac:dyDescent="0.25">
      <c r="A78" t="s">
        <v>107</v>
      </c>
      <c r="B78" t="s">
        <v>108</v>
      </c>
    </row>
    <row r="79" spans="1:2" x14ac:dyDescent="0.25">
      <c r="A79" t="s">
        <v>131</v>
      </c>
      <c r="B79" t="s">
        <v>132</v>
      </c>
    </row>
    <row r="80" spans="1:2" x14ac:dyDescent="0.25">
      <c r="A80" t="s">
        <v>85</v>
      </c>
      <c r="B80" t="s">
        <v>86</v>
      </c>
    </row>
    <row r="81" spans="1:2" x14ac:dyDescent="0.25">
      <c r="A81" t="s">
        <v>152</v>
      </c>
      <c r="B81" t="s">
        <v>86</v>
      </c>
    </row>
    <row r="82" spans="1:2" x14ac:dyDescent="0.25">
      <c r="A82" t="s">
        <v>89</v>
      </c>
      <c r="B82" t="s">
        <v>82</v>
      </c>
    </row>
    <row r="83" spans="1:2" x14ac:dyDescent="0.25">
      <c r="A83" t="s">
        <v>140</v>
      </c>
      <c r="B83" s="1" t="s">
        <v>141</v>
      </c>
    </row>
    <row r="84" spans="1:2" x14ac:dyDescent="0.25">
      <c r="A84" t="s">
        <v>135</v>
      </c>
      <c r="B84" s="1" t="s">
        <v>108</v>
      </c>
    </row>
    <row r="85" spans="1:2" x14ac:dyDescent="0.25">
      <c r="A85" t="s">
        <v>71</v>
      </c>
    </row>
    <row r="86" spans="1:2" x14ac:dyDescent="0.25">
      <c r="A86" t="s">
        <v>156</v>
      </c>
      <c r="B86" s="1" t="s">
        <v>157</v>
      </c>
    </row>
    <row r="87" spans="1:2" x14ac:dyDescent="0.25">
      <c r="A87" t="s">
        <v>90</v>
      </c>
    </row>
    <row r="88" spans="1:2" x14ac:dyDescent="0.25">
      <c r="A88" t="s">
        <v>81</v>
      </c>
      <c r="B88" t="s">
        <v>82</v>
      </c>
    </row>
    <row r="89" spans="1:2" x14ac:dyDescent="0.25">
      <c r="A89" t="s">
        <v>161</v>
      </c>
    </row>
    <row r="90" spans="1:2" x14ac:dyDescent="0.25">
      <c r="A90" t="s">
        <v>128</v>
      </c>
      <c r="B90" t="s">
        <v>129</v>
      </c>
    </row>
    <row r="97" spans="1:3" x14ac:dyDescent="0.25">
      <c r="A97" s="2"/>
    </row>
    <row r="100" spans="1:3" x14ac:dyDescent="0.25">
      <c r="C100" s="4"/>
    </row>
  </sheetData>
  <autoFilter ref="A1:C114" xr:uid="{0CF5E5A6-ACD6-46A7-BADE-745CABFBA12A}">
    <sortState xmlns:xlrd2="http://schemas.microsoft.com/office/spreadsheetml/2017/richdata2" ref="A2:C100">
      <sortCondition ref="A1:A114"/>
    </sortState>
  </autoFilter>
  <sortState xmlns:xlrd2="http://schemas.microsoft.com/office/spreadsheetml/2017/richdata2" ref="A1:B113">
    <sortCondition ref="A1: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A3526-B3A7-482A-8CFD-7E10656286EE}">
  <sheetPr codeName="Sheet3"/>
  <dimension ref="A1:E24"/>
  <sheetViews>
    <sheetView workbookViewId="0">
      <selection activeCell="C19" sqref="C19"/>
    </sheetView>
  </sheetViews>
  <sheetFormatPr defaultRowHeight="15" x14ac:dyDescent="0.25"/>
  <cols>
    <col min="1" max="1" width="53" customWidth="1"/>
    <col min="2" max="2" width="7.5703125" customWidth="1"/>
    <col min="3" max="3" width="8.7109375" style="2" customWidth="1"/>
    <col min="4" max="4" width="53.5703125" customWidth="1"/>
  </cols>
  <sheetData>
    <row r="1" spans="1:5" x14ac:dyDescent="0.25">
      <c r="A1" t="str" cm="1">
        <f t="array" ref="A1">"{"&amp;_xlfn.CONCAT(TRANSPOSE(D:D))&amp;"};"</f>
        <v>{"Design ER Summer Exhaust Entering Air DB Temperature", "Design ER Summer Exhaust Entering Air WB Temperature", "Design ER Summer Exhaust Leaving Air DB Temperature", "Design ER Summer Exhaust Leaving Air WB Temperature", "Design ER Summer Supply Entering Air DB Temperature", "Design ER Summer Supply Entering Air WB Temperature", "Design ER Summer Supply Leaving Air DB Temperature", "Design ER Summer Supply Leaving Air WB Temperature", "Design ER Winter Exhaust Entering Air DB Temperature", "Design ER Winter Exhaust Entering Air WB Temperature", "Design ER Winter Exhaust Leaving Air DB Temperature", "Design ER Winter Exhaust Leaving Air WB Temperature", "Design ER Winter Supply Entering Air DB Temperature", "Design ER Winter Supply Entering Air WB Temperature", "Design ER Winter Supply Leaving Air DB Temperature", "Design ER Winter Supply Leaving Air WB Temperature" };</v>
      </c>
    </row>
    <row r="2" spans="1:5" x14ac:dyDescent="0.25">
      <c r="A2" t="str" cm="1">
        <f t="array" ref="A2">"{"&amp;_xlfn.CONCAT(TRANSPOSE(E:E))&amp;"};"</f>
        <v>{1.17148935246489, 1.10636681355417, 1.1910261141381, 1.16280634727679, 1.20405062192025, 1.15846484468274, 1.17800160635596, 1.1454403369006, 1.14978183949465, 1.11287906744524, 1.11287906744524, 1.11287906744524, 1.02821976686131, 1.02821976686131, 1.10636681355417, 1.08900080317798 };</v>
      </c>
    </row>
    <row r="3" spans="1:5" x14ac:dyDescent="0.25">
      <c r="A3" t="s">
        <v>14</v>
      </c>
      <c r="B3">
        <v>80</v>
      </c>
      <c r="D3" t="str">
        <f t="shared" ref="D3:D17" si="0">""""&amp;A3&amp;""""&amp;", "</f>
        <v xml:space="preserve">"Design ER Summer Exhaust Entering Air DB Temperature", </v>
      </c>
      <c r="E3" t="str">
        <f t="shared" ref="E3:E17" si="1">(B3+459.67)/460.67&amp;", "</f>
        <v xml:space="preserve">1.17148935246489, </v>
      </c>
    </row>
    <row r="4" spans="1:5" x14ac:dyDescent="0.25">
      <c r="A4" t="s">
        <v>12</v>
      </c>
      <c r="B4">
        <v>50</v>
      </c>
      <c r="D4" t="str">
        <f t="shared" si="0"/>
        <v xml:space="preserve">"Design ER Summer Exhaust Entering Air WB Temperature", </v>
      </c>
      <c r="E4" t="str">
        <f t="shared" si="1"/>
        <v xml:space="preserve">1.10636681355417, </v>
      </c>
    </row>
    <row r="5" spans="1:5" x14ac:dyDescent="0.25">
      <c r="A5" t="s">
        <v>15</v>
      </c>
      <c r="B5">
        <v>89</v>
      </c>
      <c r="D5" t="str">
        <f t="shared" si="0"/>
        <v xml:space="preserve">"Design ER Summer Exhaust Leaving Air DB Temperature", </v>
      </c>
      <c r="E5" t="str">
        <f t="shared" si="1"/>
        <v xml:space="preserve">1.1910261141381, </v>
      </c>
    </row>
    <row r="6" spans="1:5" x14ac:dyDescent="0.25">
      <c r="A6" t="s">
        <v>8</v>
      </c>
      <c r="B6">
        <v>76</v>
      </c>
      <c r="D6" t="str">
        <f t="shared" si="0"/>
        <v xml:space="preserve">"Design ER Summer Exhaust Leaving Air WB Temperature", </v>
      </c>
      <c r="E6" t="str">
        <f t="shared" si="1"/>
        <v xml:space="preserve">1.16280634727679, </v>
      </c>
    </row>
    <row r="7" spans="1:5" x14ac:dyDescent="0.25">
      <c r="A7" t="s">
        <v>6</v>
      </c>
      <c r="B7">
        <v>95</v>
      </c>
      <c r="D7" t="str">
        <f t="shared" si="0"/>
        <v xml:space="preserve">"Design ER Summer Supply Entering Air DB Temperature", </v>
      </c>
      <c r="E7" t="str">
        <f t="shared" si="1"/>
        <v xml:space="preserve">1.20405062192025, </v>
      </c>
    </row>
    <row r="8" spans="1:5" x14ac:dyDescent="0.25">
      <c r="A8" t="s">
        <v>11</v>
      </c>
      <c r="B8">
        <v>74</v>
      </c>
      <c r="D8" t="str">
        <f t="shared" si="0"/>
        <v xml:space="preserve">"Design ER Summer Supply Entering Air WB Temperature", </v>
      </c>
      <c r="E8" t="str">
        <f t="shared" si="1"/>
        <v xml:space="preserve">1.15846484468274, </v>
      </c>
    </row>
    <row r="9" spans="1:5" x14ac:dyDescent="0.25">
      <c r="A9" t="s">
        <v>3</v>
      </c>
      <c r="B9">
        <v>83</v>
      </c>
      <c r="D9" t="str">
        <f t="shared" si="0"/>
        <v xml:space="preserve">"Design ER Summer Supply Leaving Air DB Temperature", </v>
      </c>
      <c r="E9" t="str">
        <f t="shared" si="1"/>
        <v xml:space="preserve">1.17800160635596, </v>
      </c>
    </row>
    <row r="10" spans="1:5" x14ac:dyDescent="0.25">
      <c r="A10" t="s">
        <v>1</v>
      </c>
      <c r="B10">
        <v>68</v>
      </c>
      <c r="D10" t="str">
        <f t="shared" si="0"/>
        <v xml:space="preserve">"Design ER Summer Supply Leaving Air WB Temperature", </v>
      </c>
      <c r="E10" t="str">
        <f t="shared" si="1"/>
        <v xml:space="preserve">1.1454403369006, </v>
      </c>
    </row>
    <row r="11" spans="1:5" x14ac:dyDescent="0.25">
      <c r="A11" t="s">
        <v>0</v>
      </c>
      <c r="B11">
        <v>70</v>
      </c>
      <c r="D11" t="str">
        <f t="shared" si="0"/>
        <v xml:space="preserve">"Design ER Winter Exhaust Entering Air DB Temperature", </v>
      </c>
      <c r="E11" t="str">
        <f t="shared" si="1"/>
        <v xml:space="preserve">1.14978183949465, </v>
      </c>
    </row>
    <row r="12" spans="1:5" x14ac:dyDescent="0.25">
      <c r="A12" t="s">
        <v>9</v>
      </c>
      <c r="B12">
        <v>53</v>
      </c>
      <c r="D12" t="str">
        <f t="shared" si="0"/>
        <v xml:space="preserve">"Design ER Winter Exhaust Entering Air WB Temperature", </v>
      </c>
      <c r="E12" t="str">
        <f t="shared" si="1"/>
        <v xml:space="preserve">1.11287906744524, </v>
      </c>
    </row>
    <row r="13" spans="1:5" x14ac:dyDescent="0.25">
      <c r="A13" t="s">
        <v>7</v>
      </c>
      <c r="B13">
        <v>53</v>
      </c>
      <c r="D13" t="str">
        <f t="shared" si="0"/>
        <v xml:space="preserve">"Design ER Winter Exhaust Leaving Air DB Temperature", </v>
      </c>
      <c r="E13" t="str">
        <f t="shared" si="1"/>
        <v xml:space="preserve">1.11287906744524, </v>
      </c>
    </row>
    <row r="14" spans="1:5" x14ac:dyDescent="0.25">
      <c r="A14" t="s">
        <v>13</v>
      </c>
      <c r="B14">
        <v>53</v>
      </c>
      <c r="D14" t="str">
        <f t="shared" si="0"/>
        <v xml:space="preserve">"Design ER Winter Exhaust Leaving Air WB Temperature", </v>
      </c>
      <c r="E14" t="str">
        <f t="shared" si="1"/>
        <v xml:space="preserve">1.11287906744524, </v>
      </c>
    </row>
    <row r="15" spans="1:5" x14ac:dyDescent="0.25">
      <c r="A15" t="s">
        <v>4</v>
      </c>
      <c r="B15">
        <v>14</v>
      </c>
      <c r="D15" t="str">
        <f t="shared" si="0"/>
        <v xml:space="preserve">"Design ER Winter Supply Entering Air DB Temperature", </v>
      </c>
      <c r="E15" t="str">
        <f t="shared" si="1"/>
        <v xml:space="preserve">1.02821976686131, </v>
      </c>
    </row>
    <row r="16" spans="1:5" x14ac:dyDescent="0.25">
      <c r="A16" t="s">
        <v>5</v>
      </c>
      <c r="B16">
        <v>14</v>
      </c>
      <c r="D16" t="str">
        <f t="shared" si="0"/>
        <v xml:space="preserve">"Design ER Winter Supply Entering Air WB Temperature", </v>
      </c>
      <c r="E16" t="str">
        <f t="shared" si="1"/>
        <v xml:space="preserve">1.02821976686131, </v>
      </c>
    </row>
    <row r="17" spans="1:5" x14ac:dyDescent="0.25">
      <c r="A17" t="s">
        <v>2</v>
      </c>
      <c r="B17">
        <v>50</v>
      </c>
      <c r="D17" t="str">
        <f t="shared" si="0"/>
        <v xml:space="preserve">"Design ER Winter Supply Leaving Air DB Temperature", </v>
      </c>
      <c r="E17" t="str">
        <f t="shared" si="1"/>
        <v xml:space="preserve">1.10636681355417, </v>
      </c>
    </row>
    <row r="18" spans="1:5" x14ac:dyDescent="0.25">
      <c r="A18" t="s">
        <v>10</v>
      </c>
      <c r="B18">
        <v>42</v>
      </c>
      <c r="D18" t="str">
        <f>""""&amp;A18&amp;""""&amp;" "</f>
        <v xml:space="preserve">"Design ER Winter Supply Leaving Air WB Temperature" </v>
      </c>
      <c r="E18" t="str">
        <f>(B18+459.67)/460.67&amp;" "</f>
        <v xml:space="preserve">1.08900080317798 </v>
      </c>
    </row>
    <row r="19" spans="1:5" x14ac:dyDescent="0.25">
      <c r="A19" s="2"/>
    </row>
    <row r="20" spans="1:5" x14ac:dyDescent="0.25">
      <c r="A20" s="2"/>
    </row>
    <row r="21" spans="1:5" x14ac:dyDescent="0.25">
      <c r="A21" s="2"/>
    </row>
    <row r="22" spans="1:5" x14ac:dyDescent="0.25">
      <c r="A22" s="2"/>
    </row>
    <row r="23" spans="1:5" x14ac:dyDescent="0.25">
      <c r="A23" s="2"/>
    </row>
    <row r="24" spans="1:5" x14ac:dyDescent="0.25">
      <c r="A24" s="2"/>
      <c r="C24"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23AF-8C9D-4892-81F1-94FE527626F1}">
  <sheetPr codeName="Sheet4"/>
  <dimension ref="A1:B4"/>
  <sheetViews>
    <sheetView workbookViewId="0">
      <selection activeCell="H33" sqref="H33"/>
    </sheetView>
  </sheetViews>
  <sheetFormatPr defaultRowHeight="15" x14ac:dyDescent="0.25"/>
  <sheetData>
    <row r="1" spans="1:2" x14ac:dyDescent="0.25">
      <c r="A1">
        <v>0</v>
      </c>
      <c r="B1">
        <v>-459.67</v>
      </c>
    </row>
    <row r="2" spans="1:2" x14ac:dyDescent="0.25">
      <c r="A2">
        <v>1</v>
      </c>
      <c r="B2">
        <v>1</v>
      </c>
    </row>
    <row r="3" spans="1:2" x14ac:dyDescent="0.25">
      <c r="A3">
        <v>2</v>
      </c>
      <c r="B3">
        <v>461.67</v>
      </c>
    </row>
    <row r="4" spans="1:2" x14ac:dyDescent="0.25">
      <c r="A4">
        <v>3</v>
      </c>
      <c r="B4">
        <v>922.34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HOW TO</vt:lpstr>
      <vt:lpstr>INSTANCE</vt:lpstr>
      <vt:lpstr>TYPE</vt:lpstr>
      <vt:lpstr>INPUT</vt:lpstr>
      <vt:lpstr>TEMPERATURE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Chung</dc:creator>
  <cp:lastModifiedBy>Richard Chung</cp:lastModifiedBy>
  <dcterms:created xsi:type="dcterms:W3CDTF">2021-07-22T17:51:45Z</dcterms:created>
  <dcterms:modified xsi:type="dcterms:W3CDTF">2021-08-30T21:26:52Z</dcterms:modified>
</cp:coreProperties>
</file>